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20B71B17-4268-4F3F-933A-63ADFC22AA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adowFox Retail Sales Analysis" sheetId="1" r:id="rId1"/>
    <sheet name="Pivot Table 1" sheetId="2" r:id="rId2"/>
    <sheet name="Summary" sheetId="3" r:id="rId3"/>
  </sheets>
  <definedNames>
    <definedName name="_xlnm._FilterDatabase" localSheetId="0" hidden="1">'ShadowFox Retail Sales Analysis'!$A$1:$H$241</definedName>
  </definedNames>
  <calcPr calcId="191029"/>
  <pivotCaches>
    <pivotCache cacheId="5" r:id="rId4"/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3" i="3" s="1"/>
  <c r="I2" i="1" a="1"/>
  <c r="I238" i="1" l="1"/>
  <c r="I230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2" i="1"/>
  <c r="I11" i="1"/>
  <c r="I10" i="1"/>
  <c r="I9" i="1"/>
  <c r="I8" i="1"/>
  <c r="I7" i="1"/>
  <c r="I6" i="1"/>
  <c r="I5" i="1"/>
  <c r="I4" i="1"/>
  <c r="I3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2" i="1"/>
  <c r="I241" i="1"/>
  <c r="I240" i="1"/>
  <c r="I239" i="1"/>
  <c r="I237" i="1"/>
  <c r="I236" i="1"/>
  <c r="I235" i="1"/>
  <c r="I234" i="1"/>
  <c r="I233" i="1"/>
  <c r="I232" i="1"/>
  <c r="I231" i="1"/>
  <c r="I229" i="1"/>
  <c r="I228" i="1"/>
  <c r="I227" i="1"/>
  <c r="I226" i="1"/>
  <c r="I225" i="1"/>
  <c r="I224" i="1"/>
</calcChain>
</file>

<file path=xl/sharedStrings.xml><?xml version="1.0" encoding="utf-8"?>
<sst xmlns="http://schemas.openxmlformats.org/spreadsheetml/2006/main" count="1012" uniqueCount="292">
  <si>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</si>
  <si>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</si>
  <si>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</si>
  <si>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</si>
  <si>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</si>
  <si>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</si>
  <si>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</si>
  <si>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</si>
  <si>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</si>
  <si>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</si>
  <si>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</si>
  <si>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</si>
  <si>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</si>
  <si>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</si>
  <si>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</si>
  <si>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</si>
  <si>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</si>
  <si>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</si>
  <si>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</si>
  <si>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</si>
  <si>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</si>
  <si>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</si>
  <si>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</si>
  <si>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</si>
  <si>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</si>
  <si>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</si>
  <si>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</si>
  <si>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</si>
  <si>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</si>
  <si>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</si>
  <si>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</si>
  <si>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</si>
  <si>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</si>
  <si>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</si>
  <si>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</si>
  <si>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</si>
  <si>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</si>
  <si>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</si>
  <si>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</si>
  <si>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</si>
  <si>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</si>
  <si>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</si>
  <si>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</si>
  <si>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</si>
  <si>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</si>
  <si>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</si>
  <si>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</si>
  <si>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</si>
  <si>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</si>
  <si>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</si>
  <si>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</si>
  <si>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</si>
  <si>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</si>
  <si>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</si>
  <si>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</si>
  <si>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</si>
  <si>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</si>
  <si>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</si>
  <si>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</si>
  <si>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</si>
  <si>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</si>
  <si>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</si>
  <si>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</si>
  <si>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</si>
  <si>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</si>
  <si>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</si>
  <si>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</si>
  <si>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</si>
  <si>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</si>
  <si>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</si>
  <si>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</si>
  <si>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</si>
  <si>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</si>
  <si>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</si>
  <si>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</si>
  <si>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</si>
  <si>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</si>
  <si>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</si>
  <si>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</si>
  <si>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</si>
  <si>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</si>
  <si>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</si>
  <si>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</si>
  <si>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</si>
  <si>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</si>
  <si>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</si>
  <si>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</si>
  <si>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</si>
  <si>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</si>
  <si>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</si>
  <si>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</si>
  <si>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</si>
  <si>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</si>
  <si>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</si>
  <si>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</si>
  <si>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</si>
  <si>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</si>
  <si>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</si>
  <si>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</si>
  <si>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</si>
  <si>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</si>
  <si>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</si>
  <si>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</si>
  <si>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</si>
  <si>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</si>
  <si>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</si>
  <si>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</si>
  <si>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</si>
  <si>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</si>
  <si>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</si>
  <si>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</si>
  <si>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</si>
  <si>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</si>
  <si>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</si>
  <si>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</si>
  <si>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</si>
  <si>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</si>
  <si>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</si>
  <si>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SUM of total</t>
  </si>
  <si>
    <t>SO-1088</t>
  </si>
  <si>
    <t>SO-1089</t>
  </si>
  <si>
    <t>SO-1090</t>
  </si>
  <si>
    <t>SO-1091</t>
  </si>
  <si>
    <t>Grand Total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</si>
  <si>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</si>
  <si>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</si>
  <si>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</si>
  <si>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</si>
  <si>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</si>
  <si>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</si>
  <si>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</si>
  <si>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</si>
  <si>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</si>
  <si>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</si>
  <si>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</si>
  <si>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</si>
  <si>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</si>
  <si>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</si>
  <si>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</si>
  <si>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</si>
  <si>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</si>
  <si>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</si>
  <si>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</si>
  <si>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</si>
  <si>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</si>
  <si>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</si>
  <si>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</si>
  <si>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</si>
  <si>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</si>
  <si>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</si>
  <si>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</si>
  <si>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</si>
  <si>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</si>
  <si>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</si>
  <si>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</si>
  <si>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</si>
  <si>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</si>
  <si>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</si>
  <si>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</si>
  <si>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</si>
  <si>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</si>
  <si>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</si>
  <si>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</si>
  <si>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</si>
  <si>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</si>
  <si>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</si>
  <si>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</si>
  <si>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</si>
  <si>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</si>
  <si>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</si>
  <si>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</si>
  <si>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</si>
  <si>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</si>
  <si>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</si>
  <si>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</si>
  <si>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</si>
  <si>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</si>
  <si>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</si>
  <si>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</si>
  <si>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</si>
  <si>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</si>
  <si>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</si>
  <si>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</si>
  <si>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</si>
  <si>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</si>
  <si>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</si>
  <si>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</si>
  <si>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</si>
  <si>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</si>
  <si>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</si>
  <si>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</si>
  <si>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</si>
  <si>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</si>
  <si>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</si>
  <si>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</si>
  <si>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</si>
  <si>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</si>
  <si>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</si>
  <si>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</si>
  <si>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</si>
  <si>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</si>
  <si>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</si>
  <si>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</si>
  <si>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</si>
  <si>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</si>
  <si>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</si>
  <si>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</si>
  <si>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</si>
  <si>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</si>
  <si>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</si>
  <si>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</si>
  <si>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</si>
  <si>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</si>
  <si>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</si>
  <si>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</si>
  <si>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</si>
  <si>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</si>
  <si>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</si>
  <si>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</si>
  <si>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</si>
  <si>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</si>
  <si>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</si>
  <si>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</si>
  <si>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</si>
  <si>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</si>
  <si>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</si>
  <si>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</si>
  <si>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</si>
  <si>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</si>
  <si>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</si>
  <si>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</si>
  <si>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</si>
  <si>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</si>
  <si>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</si>
  <si>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</si>
  <si>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</si>
  <si>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</si>
  <si>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</si>
  <si>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</si>
  <si>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</si>
  <si>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</si>
  <si>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</si>
  <si>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</si>
  <si>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</si>
  <si>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</si>
  <si>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</si>
  <si>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</si>
  <si>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</si>
  <si>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</si>
  <si>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</si>
  <si>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</si>
  <si>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</si>
  <si>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</si>
  <si>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</si>
  <si>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</si>
  <si>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</si>
  <si>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</si>
  <si>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</si>
  <si>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</si>
  <si>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</si>
  <si>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</si>
  <si>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</si>
  <si>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</si>
  <si>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</si>
  <si>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</si>
  <si>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</si>
  <si>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</si>
  <si>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</si>
  <si>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</si>
  <si>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</si>
  <si>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</si>
  <si>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</si>
  <si>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</si>
  <si>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Jan</t>
  </si>
  <si>
    <t>Feb</t>
  </si>
  <si>
    <t>Mar</t>
  </si>
  <si>
    <t>Apr</t>
  </si>
  <si>
    <t>May</t>
  </si>
  <si>
    <t>Jun</t>
  </si>
  <si>
    <t>Metric</t>
  </si>
  <si>
    <t>Value</t>
  </si>
  <si>
    <t>Total Sales</t>
  </si>
  <si>
    <t>Orders</t>
  </si>
  <si>
    <t>Average Order Value</t>
  </si>
  <si>
    <t>Key Insights</t>
  </si>
  <si>
    <t>Highest sales month</t>
  </si>
  <si>
    <t>June — 36,723.17</t>
  </si>
  <si>
    <t>Lowest sales month</t>
  </si>
  <si>
    <t>February — 13,788.89</t>
  </si>
  <si>
    <t>Top product by revenue</t>
  </si>
  <si>
    <t>Laptop Stand — 18,713.90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</si>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</sst>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1'!$A$2:$A$6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'Pivot Table 1'!$B$2:$B$6</c:f>
              <c:numCache>
                <c:formatCode>General</c:formatCode>
                <c:ptCount val="5"/>
                <c:pt idx="0">
                  <c:v>30787.940000000013</c:v>
                </c:pt>
                <c:pt idx="1">
                  <c:v>30083.510000000002</c:v>
                </c:pt>
                <c:pt idx="2">
                  <c:v>28925</c:v>
                </c:pt>
                <c:pt idx="3">
                  <c:v>26485.820000000007</c:v>
                </c:pt>
                <c:pt idx="4">
                  <c:v>26154.87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3-490C-B126-B5F6A2D0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289565"/>
        <c:axId val="1722637100"/>
      </c:barChart>
      <c:catAx>
        <c:axId val="203289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2637100"/>
        <c:crosses val="autoZero"/>
        <c:auto val="1"/>
        <c:lblAlgn val="ctr"/>
        <c:lblOffset val="100"/>
        <c:noMultiLvlLbl val="1"/>
      </c:catAx>
      <c:valAx>
        <c:axId val="1722637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895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Monthly Sales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24177.450000000004</c:v>
                </c:pt>
                <c:pt idx="1">
                  <c:v>13788.89</c:v>
                </c:pt>
                <c:pt idx="2">
                  <c:v>19390.28</c:v>
                </c:pt>
                <c:pt idx="3">
                  <c:v>23471.379999999997</c:v>
                </c:pt>
                <c:pt idx="4">
                  <c:v>24885.970000000008</c:v>
                </c:pt>
                <c:pt idx="5">
                  <c:v>36723.17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0-4285-8521-6A4C2E40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809807"/>
        <c:axId val="831421340"/>
      </c:barChart>
      <c:catAx>
        <c:axId val="73180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421340"/>
        <c:crosses val="autoZero"/>
        <c:auto val="1"/>
        <c:lblAlgn val="ctr"/>
        <c:lblOffset val="100"/>
        <c:noMultiLvlLbl val="1"/>
      </c:catAx>
      <c:valAx>
        <c:axId val="831421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18098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Summary!$A$21:$A$32</c:f>
              <c:strCache>
                <c:ptCount val="12"/>
                <c:pt idx="0">
                  <c:v>Laptop Stand</c:v>
                </c:pt>
                <c:pt idx="1">
                  <c:v>Webcam 1080p</c:v>
                </c:pt>
                <c:pt idx="2">
                  <c:v>Cable Organizer</c:v>
                </c:pt>
                <c:pt idx="3">
                  <c:v>Wireless Mouse</c:v>
                </c:pt>
                <c:pt idx="4">
                  <c:v>External SSD 1TB</c:v>
                </c:pt>
                <c:pt idx="5">
                  <c:v>Noise-Cancelling Headphones</c:v>
                </c:pt>
                <c:pt idx="6">
                  <c:v>Ergonomic Chair</c:v>
                </c:pt>
                <c:pt idx="7">
                  <c:v>Desk Lamp</c:v>
                </c:pt>
                <c:pt idx="8">
                  <c:v>Mechanical Keyboard</c:v>
                </c:pt>
                <c:pt idx="9">
                  <c:v>27-inch Monitor</c:v>
                </c:pt>
                <c:pt idx="10">
                  <c:v>USB-C Hub</c:v>
                </c:pt>
                <c:pt idx="11">
                  <c:v>Standing Desk</c:v>
                </c:pt>
              </c:strCache>
            </c:strRef>
          </c:cat>
          <c:val>
            <c:numRef>
              <c:f>Summary!$B$21:$B$32</c:f>
              <c:numCache>
                <c:formatCode>General</c:formatCode>
                <c:ptCount val="12"/>
                <c:pt idx="0">
                  <c:v>18713.899999999998</c:v>
                </c:pt>
                <c:pt idx="1">
                  <c:v>16809.84</c:v>
                </c:pt>
                <c:pt idx="2">
                  <c:v>16142.37</c:v>
                </c:pt>
                <c:pt idx="3">
                  <c:v>14290.77</c:v>
                </c:pt>
                <c:pt idx="4">
                  <c:v>12103.9</c:v>
                </c:pt>
                <c:pt idx="5">
                  <c:v>10674.320000000002</c:v>
                </c:pt>
                <c:pt idx="6">
                  <c:v>10624.930000000002</c:v>
                </c:pt>
                <c:pt idx="7">
                  <c:v>10445.799999999999</c:v>
                </c:pt>
                <c:pt idx="8">
                  <c:v>9513.33</c:v>
                </c:pt>
                <c:pt idx="9">
                  <c:v>8509.33</c:v>
                </c:pt>
                <c:pt idx="10">
                  <c:v>8082.1000000000013</c:v>
                </c:pt>
                <c:pt idx="11">
                  <c:v>6526.5499999999993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2-4E62-95EA-234B14FB2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972976"/>
        <c:axId val="636225985"/>
      </c:barChart>
      <c:catAx>
        <c:axId val="182297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6225985"/>
        <c:crosses val="autoZero"/>
        <c:auto val="1"/>
        <c:lblAlgn val="ctr"/>
        <c:lblOffset val="100"/>
        <c:noMultiLvlLbl val="1"/>
      </c:catAx>
      <c:valAx>
        <c:axId val="636225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29729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0</xdr:row>
      <xdr:rowOff>0</xdr:rowOff>
    </xdr:from>
    <xdr:ext cx="5248275" cy="26384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609600</xdr:colOff>
      <xdr:row>18</xdr:row>
      <xdr:rowOff>171450</xdr:rowOff>
    </xdr:from>
    <xdr:ext cx="5248275" cy="28575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enna VenkataHemanthreddy" refreshedDate="46318.738185416667" refreshedVersion="8" recordCount="240" xr:uid="{00000000-000A-0000-FFFF-FFFF01000000}">
  <cacheSource type="worksheet">
    <worksheetSource ref="A1:H241" sheet="ShadowFox Retail Sales Analysis"/>
  </cacheSource>
  <cacheFields count="9">
    <cacheField name="order_id" numFmtId="0">
      <sharedItems/>
    </cacheField>
    <cacheField name="date" numFmtId="164">
      <sharedItems containsSemiMixedTypes="0" containsNonDate="0" containsDate="1" containsString="0" minDate="2026-01-02T00:00:00" maxDate="2026-06-30T00:00:00" count="131">
        <d v="2026-05-04T00:00:00"/>
        <d v="2026-06-26T00:00:00"/>
        <d v="2026-03-08T00:00:00"/>
        <d v="2026-02-14T00:00:00"/>
        <d v="2026-02-22T00:00:00"/>
        <d v="2026-01-18T00:00:00"/>
        <d v="2026-04-13T00:00:00"/>
        <d v="2026-05-06T00:00:00"/>
        <d v="2026-04-04T00:00:00"/>
        <d v="2026-03-01T00:00:00"/>
        <d v="2026-01-27T00:00:00"/>
        <d v="2026-05-19T00:00:00"/>
        <d v="2026-04-19T00:00:00"/>
        <d v="2026-04-16T00:00:00"/>
        <d v="2026-06-14T00:00:00"/>
        <d v="2026-01-06T00:00:00"/>
        <d v="2026-03-11T00:00:00"/>
        <d v="2026-04-17T00:00:00"/>
        <d v="2026-01-10T00:00:00"/>
        <d v="2026-06-29T00:00:00"/>
        <d v="2026-03-17T00:00:00"/>
        <d v="2026-03-26T00:00:00"/>
        <d v="2026-03-30T00:00:00"/>
        <d v="2026-06-28T00:00:00"/>
        <d v="2026-05-21T00:00:00"/>
        <d v="2026-02-11T00:00:00"/>
        <d v="2026-06-21T00:00:00"/>
        <d v="2026-01-24T00:00:00"/>
        <d v="2026-06-13T00:00:00"/>
        <d v="2026-02-12T00:00:00"/>
        <d v="2026-04-23T00:00:00"/>
        <d v="2026-02-26T00:00:00"/>
        <d v="2026-01-02T00:00:00"/>
        <d v="2026-02-02T00:00:00"/>
        <d v="2026-06-09T00:00:00"/>
        <d v="2026-04-30T00:00:00"/>
        <d v="2026-05-09T00:00:00"/>
        <d v="2026-05-23T00:00:00"/>
        <d v="2026-02-01T00:00:00"/>
        <d v="2026-04-02T00:00:00"/>
        <d v="2026-05-11T00:00:00"/>
        <d v="2026-01-30T00:00:00"/>
        <d v="2026-01-04T00:00:00"/>
        <d v="2026-04-12T00:00:00"/>
        <d v="2026-01-16T00:00:00"/>
        <d v="2026-03-04T00:00:00"/>
        <d v="2026-03-22T00:00:00"/>
        <d v="2026-06-23T00:00:00"/>
        <d v="2026-04-03T00:00:00"/>
        <d v="2026-06-20T00:00:00"/>
        <d v="2026-06-11T00:00:00"/>
        <d v="2026-06-12T00:00:00"/>
        <d v="2026-04-27T00:00:00"/>
        <d v="2026-04-01T00:00:00"/>
        <d v="2026-06-10T00:00:00"/>
        <d v="2026-05-27T00:00:00"/>
        <d v="2026-02-18T00:00:00"/>
        <d v="2026-04-25T00:00:00"/>
        <d v="2026-05-05T00:00:00"/>
        <d v="2026-01-21T00:00:00"/>
        <d v="2026-04-21T00:00:00"/>
        <d v="2026-02-16T00:00:00"/>
        <d v="2026-05-02T00:00:00"/>
        <d v="2026-05-18T00:00:00"/>
        <d v="2026-05-16T00:00:00"/>
        <d v="2026-03-12T00:00:00"/>
        <d v="2026-03-19T00:00:00"/>
        <d v="2026-01-23T00:00:00"/>
        <d v="2026-05-31T00:00:00"/>
        <d v="2026-03-21T00:00:00"/>
        <d v="2026-01-03T00:00:00"/>
        <d v="2026-05-12T00:00:00"/>
        <d v="2026-03-07T00:00:00"/>
        <d v="2026-02-05T00:00:00"/>
        <d v="2026-04-26T00:00:00"/>
        <d v="2026-03-24T00:00:00"/>
        <d v="2026-03-15T00:00:00"/>
        <d v="2026-01-14T00:00:00"/>
        <d v="2026-04-09T00:00:00"/>
        <d v="2026-05-28T00:00:00"/>
        <d v="2026-04-08T00:00:00"/>
        <d v="2026-02-17T00:00:00"/>
        <d v="2026-06-24T00:00:00"/>
        <d v="2026-06-25T00:00:00"/>
        <d v="2026-03-31T00:00:00"/>
        <d v="2026-04-11T00:00:00"/>
        <d v="2026-02-13T00:00:00"/>
        <d v="2026-06-27T00:00:00"/>
        <d v="2026-03-29T00:00:00"/>
        <d v="2026-03-25T00:00:00"/>
        <d v="2026-06-07T00:00:00"/>
        <d v="2026-05-08T00:00:00"/>
        <d v="2026-06-08T00:00:00"/>
        <d v="2026-01-08T00:00:00"/>
        <d v="2026-02-08T00:00:00"/>
        <d v="2026-02-25T00:00:00"/>
        <d v="2026-06-15T00:00:00"/>
        <d v="2026-05-13T00:00:00"/>
        <d v="2026-05-15T00:00:00"/>
        <d v="2026-04-20T00:00:00"/>
        <d v="2026-04-22T00:00:00"/>
        <d v="2026-06-04T00:00:00"/>
        <d v="2026-03-18T00:00:00"/>
        <d v="2026-02-07T00:00:00"/>
        <d v="2026-03-23T00:00:00"/>
        <d v="2026-04-14T00:00:00"/>
        <d v="2026-01-05T00:00:00"/>
        <d v="2026-05-20T00:00:00"/>
        <d v="2026-05-07T00:00:00"/>
        <d v="2026-03-03T00:00:00"/>
        <d v="2026-05-14T00:00:00"/>
        <d v="2026-06-22T00:00:00"/>
        <d v="2026-06-16T00:00:00"/>
        <d v="2026-04-07T00:00:00"/>
        <d v="2026-02-04T00:00:00"/>
        <d v="2026-03-20T00:00:00"/>
        <d v="2026-04-18T00:00:00"/>
        <d v="2026-01-26T00:00:00"/>
        <d v="2026-06-05T00:00:00"/>
        <d v="2026-05-29T00:00:00"/>
        <d v="2026-01-28T00:00:00"/>
        <d v="2026-01-29T00:00:00"/>
        <d v="2026-01-31T00:00:00"/>
        <d v="2026-04-10T00:00:00"/>
        <d v="2026-04-29T00:00:00"/>
        <d v="2026-06-19T00:00:00"/>
        <d v="2026-03-02T00:00:00"/>
        <d v="2026-02-15T00:00:00"/>
        <d v="2026-05-25T00:00:00"/>
        <d v="2026-06-18T00:00:00"/>
        <d v="2026-01-07T00:00:00"/>
      </sharedItems>
      <fieldGroup par="8"/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10.1" maxValue="248.32"/>
    </cacheField>
    <cacheField name="total" numFmtId="0">
      <sharedItems containsSemiMixedTypes="0" containsString="0" containsNumber="1" minValue="10.1" maxValue="1779.92"/>
    </cacheField>
    <cacheField name="region" numFmtId="0">
      <sharedItems/>
    </cacheField>
    <cacheField name="salesperson" numFmtId="0">
      <sharedItems/>
    </cacheField>
    <cacheField name="date2" numFmtId="0" databaseField="0">
      <fieldGroup base="1">
        <rangePr autoStart="0" autoEnd="0" groupBy="months" startDate="2026-01-02T00:00:00" endDate="2026-06-30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enna VenkataHemanthreddy" refreshedDate="46318.738185532406" refreshedVersion="8" recordCount="240" xr:uid="{00000000-000A-0000-FFFF-FFFF00000000}">
  <cacheSource type="worksheet">
    <worksheetSource ref="A1:H241" sheet="ShadowFox Retail Sales Analysis"/>
  </cacheSource>
  <cacheFields count="8">
    <cacheField name="order_id" numFmtId="0">
      <sharedItems/>
    </cacheField>
    <cacheField name="date" numFmtId="164">
      <sharedItems containsSemiMixedTypes="0" containsNonDate="0" containsDate="1" containsString="0" minDate="2026-01-02T00:00:00" maxDate="2026-06-30T00:00:00"/>
    </cacheField>
    <cacheField name="product" numFmtId="0">
      <sharedItems count="12">
        <s v="Mechanical Keyboard"/>
        <s v="USB-C Hub"/>
        <s v="Standing Desk"/>
        <s v="Webcam 1080p"/>
        <s v="Desk Lamp"/>
        <s v="Cable Organizer"/>
        <s v="Noise-Cancelling Headphones"/>
        <s v="Laptop Stand"/>
        <s v="Ergonomic Chair"/>
        <s v="Wireless Mouse"/>
        <s v="External SSD 1TB"/>
        <s v="27-inch Monitor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10.1" maxValue="248.32"/>
    </cacheField>
    <cacheField name="total" numFmtId="0">
      <sharedItems containsSemiMixedTypes="0" containsString="0" containsNumber="1" minValue="10.1" maxValue="1779.92"/>
    </cacheField>
    <cacheField name="region" numFmtId="0">
      <sharedItems count="5">
        <s v="North"/>
        <s v="South"/>
        <s v="East"/>
        <s v="Central"/>
        <s v="West"/>
      </sharedItems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SO-1001"/>
    <x v="0"/>
    <s v="Mechanical Keyboard"/>
    <n v="6"/>
    <n v="112.7"/>
    <n v="676.2"/>
    <s v="North"/>
    <s v="Sofia Kowalski"/>
  </r>
  <r>
    <s v="SO-1002"/>
    <x v="1"/>
    <s v="USB-C Hub"/>
    <n v="6"/>
    <n v="35.78"/>
    <n v="214.68"/>
    <s v="South"/>
    <s v="Sofia Kowalski"/>
  </r>
  <r>
    <s v="SO-1003"/>
    <x v="2"/>
    <s v="Standing Desk"/>
    <n v="1"/>
    <n v="111.15"/>
    <n v="111.15"/>
    <s v="South"/>
    <s v="Elena Cohen"/>
  </r>
  <r>
    <s v="SO-1004"/>
    <x v="3"/>
    <s v="Webcam 1080p"/>
    <n v="1"/>
    <n v="112.67"/>
    <n v="112.67"/>
    <s v="East"/>
    <s v="Omar Haddad"/>
  </r>
  <r>
    <s v="SO-1005"/>
    <x v="4"/>
    <s v="Webcam 1080p"/>
    <n v="1"/>
    <n v="54.09"/>
    <n v="54.09"/>
    <s v="Central"/>
    <s v="Sofia Kowalski"/>
  </r>
  <r>
    <s v="SO-1006"/>
    <x v="5"/>
    <s v="Desk Lamp"/>
    <n v="4"/>
    <n v="215.54"/>
    <n v="862.16"/>
    <s v="West"/>
    <s v="Omar Haddad"/>
  </r>
  <r>
    <s v="SO-1007"/>
    <x v="6"/>
    <s v="Cable Organizer"/>
    <n v="3"/>
    <n v="17.52"/>
    <n v="52.56"/>
    <s v="East"/>
    <s v="TomÃ¡s Tanaka"/>
  </r>
  <r>
    <s v="SO-1008"/>
    <x v="7"/>
    <s v="Noise-Cancelling Headphones"/>
    <n v="6"/>
    <n v="181.65"/>
    <n v="1089.9000000000001"/>
    <s v="West"/>
    <s v="Omar Haddad"/>
  </r>
  <r>
    <s v="SO-1009"/>
    <x v="8"/>
    <s v="Laptop Stand"/>
    <n v="8"/>
    <n v="28.72"/>
    <n v="229.76"/>
    <s v="East"/>
    <s v="Sofia Kowalski"/>
  </r>
  <r>
    <s v="SO-1010"/>
    <x v="9"/>
    <s v="Ergonomic Chair"/>
    <n v="7"/>
    <n v="143.97"/>
    <n v="1007.79"/>
    <s v="East"/>
    <s v="Priya Herrera"/>
  </r>
  <r>
    <s v="SO-1011"/>
    <x v="10"/>
    <s v="Cable Organizer"/>
    <n v="7"/>
    <n v="147.79"/>
    <n v="1034.53"/>
    <s v="North"/>
    <s v="Priya Herrera"/>
  </r>
  <r>
    <s v="SO-1012"/>
    <x v="11"/>
    <s v="Wireless Mouse"/>
    <n v="5"/>
    <n v="206.67"/>
    <n v="1033.3499999999999"/>
    <s v="North"/>
    <s v="Chen Bennett"/>
  </r>
  <r>
    <s v="SO-1013"/>
    <x v="12"/>
    <s v="USB-C Hub"/>
    <n v="6"/>
    <n v="119.74"/>
    <n v="718.44"/>
    <s v="South"/>
    <s v="TomÃ¡s Tanaka"/>
  </r>
  <r>
    <s v="SO-1014"/>
    <x v="13"/>
    <s v="Mechanical Keyboard"/>
    <n v="2"/>
    <n v="179.18"/>
    <n v="358.36"/>
    <s v="North"/>
    <s v="TomÃ¡s Tanaka"/>
  </r>
  <r>
    <s v="SO-1015"/>
    <x v="14"/>
    <s v="External SSD 1TB"/>
    <n v="8"/>
    <n v="149.41"/>
    <n v="1195.28"/>
    <s v="East"/>
    <s v="Chen Bennett"/>
  </r>
  <r>
    <s v="SO-1016"/>
    <x v="15"/>
    <s v="Ergonomic Chair"/>
    <n v="1"/>
    <n v="223.56"/>
    <n v="223.56"/>
    <s v="Central"/>
    <s v="Elena Cohen"/>
  </r>
  <r>
    <s v="SO-1017"/>
    <x v="16"/>
    <s v="Desk Lamp"/>
    <n v="7"/>
    <n v="59.12"/>
    <n v="413.84"/>
    <s v="North"/>
    <s v="Chen Bennett"/>
  </r>
  <r>
    <s v="SO-1018"/>
    <x v="17"/>
    <s v="Mechanical Keyboard"/>
    <n v="7"/>
    <n v="90.62"/>
    <n v="634.34"/>
    <s v="East"/>
    <s v="Priya Herrera"/>
  </r>
  <r>
    <s v="SO-1019"/>
    <x v="18"/>
    <s v="Webcam 1080p"/>
    <n v="2"/>
    <n v="197.09"/>
    <n v="394.18"/>
    <s v="East"/>
    <s v="Sofia Kowalski"/>
  </r>
  <r>
    <s v="SO-1020"/>
    <x v="19"/>
    <s v="Laptop Stand"/>
    <n v="4"/>
    <n v="167.13"/>
    <n v="668.52"/>
    <s v="East"/>
    <s v="Priya Herrera"/>
  </r>
  <r>
    <s v="SO-1021"/>
    <x v="13"/>
    <s v="Wireless Mouse"/>
    <n v="3"/>
    <n v="63.19"/>
    <n v="189.57"/>
    <s v="South"/>
    <s v="Sofia Kowalski"/>
  </r>
  <r>
    <s v="SO-1022"/>
    <x v="20"/>
    <s v="External SSD 1TB"/>
    <n v="3"/>
    <n v="36.67"/>
    <n v="110.01"/>
    <s v="East"/>
    <s v="TomÃ¡s Tanaka"/>
  </r>
  <r>
    <s v="SO-1023"/>
    <x v="21"/>
    <s v="USB-C Hub"/>
    <n v="2"/>
    <n v="179.02"/>
    <n v="358.04"/>
    <s v="Central"/>
    <s v="Omar Haddad"/>
  </r>
  <r>
    <s v="SO-1024"/>
    <x v="22"/>
    <s v="Desk Lamp"/>
    <n v="1"/>
    <n v="54.88"/>
    <n v="54.88"/>
    <s v="Central"/>
    <s v="Elena Cohen"/>
  </r>
  <r>
    <s v="SO-1025"/>
    <x v="23"/>
    <s v="Laptop Stand"/>
    <n v="4"/>
    <n v="161.26"/>
    <n v="645.04"/>
    <s v="East"/>
    <s v="Elena Cohen"/>
  </r>
  <r>
    <s v="SO-1026"/>
    <x v="24"/>
    <s v="Laptop Stand"/>
    <n v="5"/>
    <n v="214.71"/>
    <n v="1073.55"/>
    <s v="West"/>
    <s v="Sofia Kowalski"/>
  </r>
  <r>
    <s v="SO-1027"/>
    <x v="25"/>
    <s v="Wireless Mouse"/>
    <n v="5"/>
    <n v="12.96"/>
    <n v="64.8"/>
    <s v="Central"/>
    <s v="Sofia Kowalski"/>
  </r>
  <r>
    <s v="SO-1028"/>
    <x v="5"/>
    <s v="Cable Organizer"/>
    <n v="5"/>
    <n v="68.38"/>
    <n v="341.9"/>
    <s v="Central"/>
    <s v="Priya Herrera"/>
  </r>
  <r>
    <s v="SO-1029"/>
    <x v="26"/>
    <s v="Mechanical Keyboard"/>
    <n v="4"/>
    <n v="30.61"/>
    <n v="122.44"/>
    <s v="Central"/>
    <s v="Elena Cohen"/>
  </r>
  <r>
    <s v="SO-1030"/>
    <x v="27"/>
    <s v="Mechanical Keyboard"/>
    <n v="8"/>
    <n v="103.99"/>
    <n v="831.92"/>
    <s v="Central"/>
    <s v="Priya Herrera"/>
  </r>
  <r>
    <s v="SO-1031"/>
    <x v="3"/>
    <s v="Desk Lamp"/>
    <n v="1"/>
    <n v="217.69"/>
    <n v="217.69"/>
    <s v="Central"/>
    <s v="Elena Cohen"/>
  </r>
  <r>
    <s v="SO-1032"/>
    <x v="28"/>
    <s v="Wireless Mouse"/>
    <n v="4"/>
    <n v="248.32"/>
    <n v="993.28"/>
    <s v="North"/>
    <s v="Chen Bennett"/>
  </r>
  <r>
    <s v="SO-1033"/>
    <x v="29"/>
    <s v="Laptop Stand"/>
    <n v="7"/>
    <n v="197.63"/>
    <n v="1383.41"/>
    <s v="West"/>
    <s v="Omar Haddad"/>
  </r>
  <r>
    <s v="SO-1034"/>
    <x v="30"/>
    <s v="27-inch Monitor"/>
    <n v="1"/>
    <n v="153.5"/>
    <n v="153.5"/>
    <s v="East"/>
    <s v="Sofia Kowalski"/>
  </r>
  <r>
    <s v="SO-1035"/>
    <x v="23"/>
    <s v="Webcam 1080p"/>
    <n v="4"/>
    <n v="202.9"/>
    <n v="811.6"/>
    <s v="South"/>
    <s v="Omar Haddad"/>
  </r>
  <r>
    <s v="SO-1036"/>
    <x v="31"/>
    <s v="Wireless Mouse"/>
    <n v="5"/>
    <n v="135.96"/>
    <n v="679.8"/>
    <s v="Central"/>
    <s v="Chen Bennett"/>
  </r>
  <r>
    <s v="SO-1037"/>
    <x v="32"/>
    <s v="Cable Organizer"/>
    <n v="6"/>
    <n v="74.489999999999995"/>
    <n v="446.94"/>
    <s v="East"/>
    <s v="Chen Bennett"/>
  </r>
  <r>
    <s v="SO-1038"/>
    <x v="33"/>
    <s v="Wireless Mouse"/>
    <n v="4"/>
    <n v="115.64"/>
    <n v="462.56"/>
    <s v="East"/>
    <s v="Elena Cohen"/>
  </r>
  <r>
    <s v="SO-1039"/>
    <x v="34"/>
    <s v="Laptop Stand"/>
    <n v="5"/>
    <n v="245.5"/>
    <n v="1227.5"/>
    <s v="Central"/>
    <s v="Elena Cohen"/>
  </r>
  <r>
    <s v="SO-1040"/>
    <x v="35"/>
    <s v="Laptop Stand"/>
    <n v="5"/>
    <n v="161.72"/>
    <n v="808.6"/>
    <s v="Central"/>
    <s v="Priya Herrera"/>
  </r>
  <r>
    <s v="SO-1041"/>
    <x v="31"/>
    <s v="Noise-Cancelling Headphones"/>
    <n v="1"/>
    <n v="213.38"/>
    <n v="213.38"/>
    <s v="East"/>
    <s v="Sofia Kowalski"/>
  </r>
  <r>
    <s v="SO-1042"/>
    <x v="36"/>
    <s v="Cable Organizer"/>
    <n v="3"/>
    <n v="221.01"/>
    <n v="663.03"/>
    <s v="Central"/>
    <s v="Elena Cohen"/>
  </r>
  <r>
    <s v="SO-1043"/>
    <x v="37"/>
    <s v="Webcam 1080p"/>
    <n v="4"/>
    <n v="158.94999999999999"/>
    <n v="635.79999999999995"/>
    <s v="North"/>
    <s v="Elena Cohen"/>
  </r>
  <r>
    <s v="SO-1044"/>
    <x v="38"/>
    <s v="Cable Organizer"/>
    <n v="5"/>
    <n v="37.47"/>
    <n v="187.35"/>
    <s v="West"/>
    <s v="Omar Haddad"/>
  </r>
  <r>
    <s v="SO-1045"/>
    <x v="39"/>
    <s v="Wireless Mouse"/>
    <n v="7"/>
    <n v="124.94"/>
    <n v="874.58"/>
    <s v="South"/>
    <s v="Sofia Kowalski"/>
  </r>
  <r>
    <s v="SO-1046"/>
    <x v="40"/>
    <s v="Standing Desk"/>
    <n v="1"/>
    <n v="80.58"/>
    <n v="80.58"/>
    <s v="West"/>
    <s v="Chen Bennett"/>
  </r>
  <r>
    <s v="SO-1047"/>
    <x v="41"/>
    <s v="External SSD 1TB"/>
    <n v="7"/>
    <n v="143.93"/>
    <n v="1007.51"/>
    <s v="East"/>
    <s v="Sofia Kowalski"/>
  </r>
  <r>
    <s v="SO-1048"/>
    <x v="42"/>
    <s v="Ergonomic Chair"/>
    <n v="1"/>
    <n v="151.12"/>
    <n v="151.12"/>
    <s v="West"/>
    <s v="TomÃ¡s Tanaka"/>
  </r>
  <r>
    <s v="SO-1049"/>
    <x v="43"/>
    <s v="Cable Organizer"/>
    <n v="4"/>
    <n v="84.27"/>
    <n v="337.08"/>
    <s v="South"/>
    <s v="Omar Haddad"/>
  </r>
  <r>
    <s v="SO-1050"/>
    <x v="10"/>
    <s v="Wireless Mouse"/>
    <n v="1"/>
    <n v="96.96"/>
    <n v="96.96"/>
    <s v="North"/>
    <s v="Sofia Kowalski"/>
  </r>
  <r>
    <s v="SO-1051"/>
    <x v="44"/>
    <s v="Ergonomic Chair"/>
    <n v="7"/>
    <n v="155.38999999999999"/>
    <n v="1087.73"/>
    <s v="Central"/>
    <s v="Omar Haddad"/>
  </r>
  <r>
    <s v="SO-1052"/>
    <x v="45"/>
    <s v="Mechanical Keyboard"/>
    <n v="3"/>
    <n v="125.54"/>
    <n v="376.62"/>
    <s v="East"/>
    <s v="Sofia Kowalski"/>
  </r>
  <r>
    <s v="SO-1053"/>
    <x v="46"/>
    <s v="Ergonomic Chair"/>
    <n v="5"/>
    <n v="70.790000000000006"/>
    <n v="353.95"/>
    <s v="East"/>
    <s v="TomÃ¡s Tanaka"/>
  </r>
  <r>
    <s v="SO-1054"/>
    <x v="36"/>
    <s v="Noise-Cancelling Headphones"/>
    <n v="6"/>
    <n v="204.83"/>
    <n v="1228.98"/>
    <s v="Central"/>
    <s v="Sofia Kowalski"/>
  </r>
  <r>
    <s v="SO-1055"/>
    <x v="47"/>
    <s v="External SSD 1TB"/>
    <n v="8"/>
    <n v="190.17"/>
    <n v="1521.36"/>
    <s v="South"/>
    <s v="Sofia Kowalski"/>
  </r>
  <r>
    <s v="SO-1056"/>
    <x v="34"/>
    <s v="27-inch Monitor"/>
    <n v="7"/>
    <n v="239.78"/>
    <n v="1678.46"/>
    <s v="Central"/>
    <s v="Sofia Kowalski"/>
  </r>
  <r>
    <s v="SO-1057"/>
    <x v="48"/>
    <s v="Wireless Mouse"/>
    <n v="8"/>
    <n v="14"/>
    <n v="112"/>
    <s v="West"/>
    <s v="Chen Bennett"/>
  </r>
  <r>
    <s v="SO-1058"/>
    <x v="49"/>
    <s v="Wireless Mouse"/>
    <n v="2"/>
    <n v="191.22"/>
    <n v="382.44"/>
    <s v="Central"/>
    <s v="TomÃ¡s Tanaka"/>
  </r>
  <r>
    <s v="SO-1059"/>
    <x v="50"/>
    <s v="Webcam 1080p"/>
    <n v="2"/>
    <n v="183.47"/>
    <n v="366.94"/>
    <s v="West"/>
    <s v="TomÃ¡s Tanaka"/>
  </r>
  <r>
    <s v="SO-1060"/>
    <x v="51"/>
    <s v="27-inch Monitor"/>
    <n v="2"/>
    <n v="36.29"/>
    <n v="72.58"/>
    <s v="South"/>
    <s v="Priya Herrera"/>
  </r>
  <r>
    <s v="SO-1061"/>
    <x v="52"/>
    <s v="Cable Organizer"/>
    <n v="7"/>
    <n v="208.15"/>
    <n v="1457.05"/>
    <s v="North"/>
    <s v="TomÃ¡s Tanaka"/>
  </r>
  <r>
    <s v="SO-1062"/>
    <x v="18"/>
    <s v="Laptop Stand"/>
    <n v="5"/>
    <n v="103.77"/>
    <n v="518.85"/>
    <s v="East"/>
    <s v="Elena Cohen"/>
  </r>
  <r>
    <s v="SO-1063"/>
    <x v="53"/>
    <s v="Cable Organizer"/>
    <n v="7"/>
    <n v="229.06"/>
    <n v="1603.42"/>
    <s v="East"/>
    <s v="Elena Cohen"/>
  </r>
  <r>
    <s v="SO-1064"/>
    <x v="54"/>
    <s v="External SSD 1TB"/>
    <n v="6"/>
    <n v="132.61000000000001"/>
    <n v="795.66"/>
    <s v="South"/>
    <s v="Priya Herrera"/>
  </r>
  <r>
    <s v="SO-1065"/>
    <x v="47"/>
    <s v="Wireless Mouse"/>
    <n v="7"/>
    <n v="213.29"/>
    <n v="1493.03"/>
    <s v="Central"/>
    <s v="Omar Haddad"/>
  </r>
  <r>
    <s v="SO-1066"/>
    <x v="55"/>
    <s v="Ergonomic Chair"/>
    <n v="4"/>
    <n v="105.37"/>
    <n v="421.48"/>
    <s v="South"/>
    <s v="Chen Bennett"/>
  </r>
  <r>
    <s v="SO-1067"/>
    <x v="56"/>
    <s v="Noise-Cancelling Headphones"/>
    <n v="1"/>
    <n v="55.16"/>
    <n v="55.16"/>
    <s v="West"/>
    <s v="Chen Bennett"/>
  </r>
  <r>
    <s v="SO-1068"/>
    <x v="20"/>
    <s v="Noise-Cancelling Headphones"/>
    <n v="8"/>
    <n v="150.91"/>
    <n v="1207.28"/>
    <s v="North"/>
    <s v="Priya Herrera"/>
  </r>
  <r>
    <s v="SO-1069"/>
    <x v="57"/>
    <s v="External SSD 1TB"/>
    <n v="8"/>
    <n v="55.16"/>
    <n v="441.28"/>
    <s v="North"/>
    <s v="Elena Cohen"/>
  </r>
  <r>
    <s v="SO-1070"/>
    <x v="58"/>
    <s v="Laptop Stand"/>
    <n v="8"/>
    <n v="114.94"/>
    <n v="919.52"/>
    <s v="West"/>
    <s v="TomÃ¡s Tanaka"/>
  </r>
  <r>
    <s v="SO-1071"/>
    <x v="59"/>
    <s v="External SSD 1TB"/>
    <n v="7"/>
    <n v="123.53"/>
    <n v="864.71"/>
    <s v="East"/>
    <s v="Priya Herrera"/>
  </r>
  <r>
    <s v="SO-1072"/>
    <x v="60"/>
    <s v="Mechanical Keyboard"/>
    <n v="6"/>
    <n v="106.03"/>
    <n v="636.17999999999995"/>
    <s v="North"/>
    <s v="TomÃ¡s Tanaka"/>
  </r>
  <r>
    <s v="SO-1073"/>
    <x v="61"/>
    <s v="Wireless Mouse"/>
    <n v="8"/>
    <n v="179.22"/>
    <n v="1433.76"/>
    <s v="Central"/>
    <s v="TomÃ¡s Tanaka"/>
  </r>
  <r>
    <s v="SO-1074"/>
    <x v="60"/>
    <s v="Laptop Stand"/>
    <n v="7"/>
    <n v="162.66"/>
    <n v="1138.6199999999999"/>
    <s v="North"/>
    <s v="Chen Bennett"/>
  </r>
  <r>
    <s v="SO-1075"/>
    <x v="62"/>
    <s v="Ergonomic Chair"/>
    <n v="5"/>
    <n v="207.98"/>
    <n v="1039.9000000000001"/>
    <s v="West"/>
    <s v="Sofia Kowalski"/>
  </r>
  <r>
    <s v="SO-1076"/>
    <x v="63"/>
    <s v="27-inch Monitor"/>
    <n v="7"/>
    <n v="123.91"/>
    <n v="867.37"/>
    <s v="North"/>
    <s v="Sofia Kowalski"/>
  </r>
  <r>
    <s v="SO-1077"/>
    <x v="64"/>
    <s v="Webcam 1080p"/>
    <n v="4"/>
    <n v="134.83000000000001"/>
    <n v="539.32000000000005"/>
    <s v="Central"/>
    <s v="TomÃ¡s Tanaka"/>
  </r>
  <r>
    <s v="SO-1078"/>
    <x v="24"/>
    <s v="Noise-Cancelling Headphones"/>
    <n v="6"/>
    <n v="80.19"/>
    <n v="481.14"/>
    <s v="North"/>
    <s v="Omar Haddad"/>
  </r>
  <r>
    <s v="SO-1079"/>
    <x v="8"/>
    <s v="Standing Desk"/>
    <n v="6"/>
    <n v="45.83"/>
    <n v="274.98"/>
    <s v="North"/>
    <s v="Omar Haddad"/>
  </r>
  <r>
    <s v="SO-1080"/>
    <x v="65"/>
    <s v="Cable Organizer"/>
    <n v="7"/>
    <n v="97.22"/>
    <n v="680.54"/>
    <s v="West"/>
    <s v="Chen Bennett"/>
  </r>
  <r>
    <s v="SO-1081"/>
    <x v="66"/>
    <s v="Ergonomic Chair"/>
    <n v="7"/>
    <n v="145.34"/>
    <n v="1017.38"/>
    <s v="South"/>
    <s v="Chen Bennett"/>
  </r>
  <r>
    <s v="SO-1082"/>
    <x v="67"/>
    <s v="USB-C Hub"/>
    <n v="1"/>
    <n v="78.430000000000007"/>
    <n v="78.430000000000007"/>
    <s v="East"/>
    <s v="Elena Cohen"/>
  </r>
  <r>
    <s v="SO-1083"/>
    <x v="4"/>
    <s v="Ergonomic Chair"/>
    <n v="4"/>
    <n v="24.31"/>
    <n v="97.24"/>
    <s v="South"/>
    <s v="Priya Herrera"/>
  </r>
  <r>
    <s v="SO-1084"/>
    <x v="68"/>
    <s v="Desk Lamp"/>
    <n v="3"/>
    <n v="110.73"/>
    <n v="332.19"/>
    <s v="West"/>
    <s v="Sofia Kowalski"/>
  </r>
  <r>
    <s v="SO-1085"/>
    <x v="69"/>
    <s v="External SSD 1TB"/>
    <n v="1"/>
    <n v="211.31"/>
    <n v="211.31"/>
    <s v="Central"/>
    <s v="Chen Bennett"/>
  </r>
  <r>
    <s v="SO-1086"/>
    <x v="70"/>
    <s v="Webcam 1080p"/>
    <n v="6"/>
    <n v="129.28"/>
    <n v="775.68"/>
    <s v="South"/>
    <s v="Elena Cohen"/>
  </r>
  <r>
    <s v="SO-1087"/>
    <x v="71"/>
    <s v="Webcam 1080p"/>
    <n v="6"/>
    <n v="119.41"/>
    <n v="716.46"/>
    <s v="East"/>
    <s v="Chen Bennett"/>
  </r>
  <r>
    <s v="SO-1088"/>
    <x v="72"/>
    <s v="Cable Organizer"/>
    <n v="5"/>
    <n v="247.06"/>
    <n v="1235.3"/>
    <s v="Central"/>
    <s v="TomÃ¡s Tanaka"/>
  </r>
  <r>
    <s v="SO-1089"/>
    <x v="1"/>
    <s v="External SSD 1TB"/>
    <n v="8"/>
    <n v="70.14"/>
    <n v="561.12"/>
    <s v="South"/>
    <s v="Elena Cohen"/>
  </r>
  <r>
    <s v="SO-1090"/>
    <x v="73"/>
    <s v="Laptop Stand"/>
    <n v="8"/>
    <n v="190.32"/>
    <n v="1522.56"/>
    <s v="West"/>
    <s v="TomÃ¡s Tanaka"/>
  </r>
  <r>
    <s v="SO-1091"/>
    <x v="74"/>
    <s v="Laptop Stand"/>
    <n v="2"/>
    <n v="47.23"/>
    <n v="94.46"/>
    <s v="Central"/>
    <s v="Sofia Kowalski"/>
  </r>
  <r>
    <s v="SO-1092"/>
    <x v="35"/>
    <s v="Wireless Mouse"/>
    <n v="2"/>
    <n v="129.16"/>
    <n v="258.32"/>
    <s v="East"/>
    <s v="Sofia Kowalski"/>
  </r>
  <r>
    <s v="SO-1093"/>
    <x v="75"/>
    <s v="Wireless Mouse"/>
    <n v="4"/>
    <n v="204.21"/>
    <n v="816.84"/>
    <s v="North"/>
    <s v="Priya Herrera"/>
  </r>
  <r>
    <s v="SO-1094"/>
    <x v="76"/>
    <s v="Noise-Cancelling Headphones"/>
    <n v="7"/>
    <n v="101.14"/>
    <n v="707.98"/>
    <s v="Central"/>
    <s v="Elena Cohen"/>
  </r>
  <r>
    <s v="SO-1095"/>
    <x v="51"/>
    <s v="Webcam 1080p"/>
    <n v="4"/>
    <n v="87.02"/>
    <n v="348.08"/>
    <s v="West"/>
    <s v="TomÃ¡s Tanaka"/>
  </r>
  <r>
    <s v="SO-1096"/>
    <x v="77"/>
    <s v="USB-C Hub"/>
    <n v="3"/>
    <n v="95.05"/>
    <n v="285.14999999999998"/>
    <s v="North"/>
    <s v="Omar Haddad"/>
  </r>
  <r>
    <s v="SO-1097"/>
    <x v="15"/>
    <s v="Webcam 1080p"/>
    <n v="2"/>
    <n v="157.18"/>
    <n v="314.36"/>
    <s v="East"/>
    <s v="Sofia Kowalski"/>
  </r>
  <r>
    <s v="SO-1098"/>
    <x v="50"/>
    <s v="Mechanical Keyboard"/>
    <n v="7"/>
    <n v="200.15"/>
    <n v="1401.05"/>
    <s v="South"/>
    <s v="Omar Haddad"/>
  </r>
  <r>
    <s v="SO-1099"/>
    <x v="78"/>
    <s v="External SSD 1TB"/>
    <n v="8"/>
    <n v="211.02"/>
    <n v="1688.16"/>
    <s v="South"/>
    <s v="Priya Herrera"/>
  </r>
  <r>
    <s v="SO-1100"/>
    <x v="79"/>
    <s v="Desk Lamp"/>
    <n v="6"/>
    <n v="95.39"/>
    <n v="572.34"/>
    <s v="North"/>
    <s v="Omar Haddad"/>
  </r>
  <r>
    <s v="SO-1101"/>
    <x v="80"/>
    <s v="27-inch Monitor"/>
    <n v="3"/>
    <n v="174.42"/>
    <n v="523.26"/>
    <s v="East"/>
    <s v="Priya Herrera"/>
  </r>
  <r>
    <s v="SO-1102"/>
    <x v="36"/>
    <s v="Cable Organizer"/>
    <n v="3"/>
    <n v="20.420000000000002"/>
    <n v="61.26"/>
    <s v="North"/>
    <s v="Priya Herrera"/>
  </r>
  <r>
    <s v="SO-1103"/>
    <x v="39"/>
    <s v="Noise-Cancelling Headphones"/>
    <n v="2"/>
    <n v="147.5"/>
    <n v="295"/>
    <s v="North"/>
    <s v="Chen Bennett"/>
  </r>
  <r>
    <s v="SO-1104"/>
    <x v="81"/>
    <s v="27-inch Monitor"/>
    <n v="5"/>
    <n v="145.81"/>
    <n v="729.05"/>
    <s v="North"/>
    <s v="Chen Bennett"/>
  </r>
  <r>
    <s v="SO-1105"/>
    <x v="73"/>
    <s v="Laptop Stand"/>
    <n v="8"/>
    <n v="199.7"/>
    <n v="1597.6"/>
    <s v="South"/>
    <s v="Elena Cohen"/>
  </r>
  <r>
    <s v="SO-1106"/>
    <x v="82"/>
    <s v="Mechanical Keyboard"/>
    <n v="1"/>
    <n v="136.09"/>
    <n v="136.09"/>
    <s v="North"/>
    <s v="Elena Cohen"/>
  </r>
  <r>
    <s v="SO-1107"/>
    <x v="83"/>
    <s v="Laptop Stand"/>
    <n v="5"/>
    <n v="199.37"/>
    <n v="996.85"/>
    <s v="West"/>
    <s v="Elena Cohen"/>
  </r>
  <r>
    <s v="SO-1108"/>
    <x v="84"/>
    <s v="Ergonomic Chair"/>
    <n v="5"/>
    <n v="21.33"/>
    <n v="106.65"/>
    <s v="West"/>
    <s v="Sofia Kowalski"/>
  </r>
  <r>
    <s v="SO-1109"/>
    <x v="85"/>
    <s v="Mechanical Keyboard"/>
    <n v="5"/>
    <n v="92.38"/>
    <n v="461.9"/>
    <s v="South"/>
    <s v="Priya Herrera"/>
  </r>
  <r>
    <s v="SO-1110"/>
    <x v="86"/>
    <s v="Mechanical Keyboard"/>
    <n v="2"/>
    <n v="82.19"/>
    <n v="164.38"/>
    <s v="North"/>
    <s v="Chen Bennett"/>
  </r>
  <r>
    <s v="SO-1111"/>
    <x v="87"/>
    <s v="Webcam 1080p"/>
    <n v="5"/>
    <n v="164.71"/>
    <n v="823.55"/>
    <s v="South"/>
    <s v="Chen Bennett"/>
  </r>
  <r>
    <s v="SO-1112"/>
    <x v="86"/>
    <s v="Webcam 1080p"/>
    <n v="3"/>
    <n v="16.97"/>
    <n v="50.91"/>
    <s v="Central"/>
    <s v="Sofia Kowalski"/>
  </r>
  <r>
    <s v="SO-1113"/>
    <x v="88"/>
    <s v="Cable Organizer"/>
    <n v="5"/>
    <n v="116.14"/>
    <n v="580.70000000000005"/>
    <s v="Central"/>
    <s v="TomÃ¡s Tanaka"/>
  </r>
  <r>
    <s v="SO-1114"/>
    <x v="81"/>
    <s v="Wireless Mouse"/>
    <n v="8"/>
    <n v="101.26"/>
    <n v="810.08"/>
    <s v="West"/>
    <s v="Priya Herrera"/>
  </r>
  <r>
    <s v="SO-1115"/>
    <x v="89"/>
    <s v="Cable Organizer"/>
    <n v="3"/>
    <n v="106.98"/>
    <n v="320.94"/>
    <s v="North"/>
    <s v="Sofia Kowalski"/>
  </r>
  <r>
    <s v="SO-1116"/>
    <x v="90"/>
    <s v="Desk Lamp"/>
    <n v="6"/>
    <n v="217.82"/>
    <n v="1306.92"/>
    <s v="North"/>
    <s v="Chen Bennett"/>
  </r>
  <r>
    <s v="SO-1117"/>
    <x v="48"/>
    <s v="USB-C Hub"/>
    <n v="4"/>
    <n v="82.75"/>
    <n v="331"/>
    <s v="West"/>
    <s v="Omar Haddad"/>
  </r>
  <r>
    <s v="SO-1118"/>
    <x v="23"/>
    <s v="Standing Desk"/>
    <n v="2"/>
    <n v="63.53"/>
    <n v="127.06"/>
    <s v="North"/>
    <s v="Priya Herrera"/>
  </r>
  <r>
    <s v="SO-1119"/>
    <x v="40"/>
    <s v="Cable Organizer"/>
    <n v="5"/>
    <n v="133.97999999999999"/>
    <n v="669.9"/>
    <s v="East"/>
    <s v="Elena Cohen"/>
  </r>
  <r>
    <s v="SO-1120"/>
    <x v="91"/>
    <s v="External SSD 1TB"/>
    <n v="2"/>
    <n v="40.29"/>
    <n v="80.58"/>
    <s v="Central"/>
    <s v="Chen Bennett"/>
  </r>
  <r>
    <s v="SO-1121"/>
    <x v="75"/>
    <s v="Ergonomic Chair"/>
    <n v="5"/>
    <n v="67.680000000000007"/>
    <n v="338.4"/>
    <s v="Central"/>
    <s v="Omar Haddad"/>
  </r>
  <r>
    <s v="SO-1122"/>
    <x v="27"/>
    <s v="Desk Lamp"/>
    <n v="4"/>
    <n v="155.01"/>
    <n v="620.04"/>
    <s v="Central"/>
    <s v="TomÃ¡s Tanaka"/>
  </r>
  <r>
    <s v="SO-1123"/>
    <x v="92"/>
    <s v="Webcam 1080p"/>
    <n v="7"/>
    <n v="164.92"/>
    <n v="1154.44"/>
    <s v="East"/>
    <s v="Sofia Kowalski"/>
  </r>
  <r>
    <s v="SO-1124"/>
    <x v="93"/>
    <s v="Standing Desk"/>
    <n v="4"/>
    <n v="73.540000000000006"/>
    <n v="294.16000000000003"/>
    <s v="West"/>
    <s v="Chen Bennett"/>
  </r>
  <r>
    <s v="SO-1125"/>
    <x v="94"/>
    <s v="Laptop Stand"/>
    <n v="6"/>
    <n v="64.569999999999993"/>
    <n v="387.42"/>
    <s v="West"/>
    <s v="Elena Cohen"/>
  </r>
  <r>
    <s v="SO-1126"/>
    <x v="95"/>
    <s v="Laptop Stand"/>
    <n v="6"/>
    <n v="100.31"/>
    <n v="601.86"/>
    <s v="Central"/>
    <s v="Chen Bennett"/>
  </r>
  <r>
    <s v="SO-1127"/>
    <x v="77"/>
    <s v="External SSD 1TB"/>
    <n v="2"/>
    <n v="101.62"/>
    <n v="203.24"/>
    <s v="East"/>
    <s v="Priya Herrera"/>
  </r>
  <r>
    <s v="SO-1128"/>
    <x v="27"/>
    <s v="Webcam 1080p"/>
    <n v="1"/>
    <n v="218.28"/>
    <n v="218.28"/>
    <s v="East"/>
    <s v="Priya Herrera"/>
  </r>
  <r>
    <s v="SO-1129"/>
    <x v="62"/>
    <s v="27-inch Monitor"/>
    <n v="7"/>
    <n v="136.88999999999999"/>
    <n v="958.23"/>
    <s v="West"/>
    <s v="Omar Haddad"/>
  </r>
  <r>
    <s v="SO-1130"/>
    <x v="11"/>
    <s v="External SSD 1TB"/>
    <n v="7"/>
    <n v="222.09"/>
    <n v="1554.63"/>
    <s v="East"/>
    <s v="Priya Herrera"/>
  </r>
  <r>
    <s v="SO-1131"/>
    <x v="96"/>
    <s v="Mechanical Keyboard"/>
    <n v="8"/>
    <n v="216.34"/>
    <n v="1730.72"/>
    <s v="South"/>
    <s v="Omar Haddad"/>
  </r>
  <r>
    <s v="SO-1132"/>
    <x v="97"/>
    <s v="Ergonomic Chair"/>
    <n v="8"/>
    <n v="101.86"/>
    <n v="814.88"/>
    <s v="Central"/>
    <s v="Sofia Kowalski"/>
  </r>
  <r>
    <s v="SO-1133"/>
    <x v="94"/>
    <s v="27-inch Monitor"/>
    <n v="4"/>
    <n v="76.08"/>
    <n v="304.32"/>
    <s v="East"/>
    <s v="Omar Haddad"/>
  </r>
  <r>
    <s v="SO-1134"/>
    <x v="98"/>
    <s v="Webcam 1080p"/>
    <n v="4"/>
    <n v="86.42"/>
    <n v="345.68"/>
    <s v="North"/>
    <s v="TomÃ¡s Tanaka"/>
  </r>
  <r>
    <s v="SO-1135"/>
    <x v="63"/>
    <s v="USB-C Hub"/>
    <n v="4"/>
    <n v="173.35"/>
    <n v="693.4"/>
    <s v="South"/>
    <s v="Priya Herrera"/>
  </r>
  <r>
    <s v="SO-1136"/>
    <x v="82"/>
    <s v="Noise-Cancelling Headphones"/>
    <n v="1"/>
    <n v="162.11000000000001"/>
    <n v="162.11000000000001"/>
    <s v="West"/>
    <s v="Elena Cohen"/>
  </r>
  <r>
    <s v="SO-1137"/>
    <x v="50"/>
    <s v="Ergonomic Chair"/>
    <n v="5"/>
    <n v="153.15"/>
    <n v="765.75"/>
    <s v="South"/>
    <s v="Priya Herrera"/>
  </r>
  <r>
    <s v="SO-1138"/>
    <x v="79"/>
    <s v="Wireless Mouse"/>
    <n v="2"/>
    <n v="155.6"/>
    <n v="311.2"/>
    <s v="Central"/>
    <s v="Sofia Kowalski"/>
  </r>
  <r>
    <s v="SO-1139"/>
    <x v="55"/>
    <s v="Standing Desk"/>
    <n v="6"/>
    <n v="16.7"/>
    <n v="100.2"/>
    <s v="South"/>
    <s v="Sofia Kowalski"/>
  </r>
  <r>
    <s v="SO-1140"/>
    <x v="70"/>
    <s v="Ergonomic Chair"/>
    <n v="6"/>
    <n v="19.100000000000001"/>
    <n v="114.6"/>
    <s v="North"/>
    <s v="Priya Herrera"/>
  </r>
  <r>
    <s v="SO-1141"/>
    <x v="75"/>
    <s v="Mechanical Keyboard"/>
    <n v="7"/>
    <n v="72.069999999999993"/>
    <n v="504.49"/>
    <s v="South"/>
    <s v="TomÃ¡s Tanaka"/>
  </r>
  <r>
    <s v="SO-1142"/>
    <x v="99"/>
    <s v="Ergonomic Chair"/>
    <n v="1"/>
    <n v="124.59"/>
    <n v="124.59"/>
    <s v="East"/>
    <s v="Elena Cohen"/>
  </r>
  <r>
    <s v="SO-1143"/>
    <x v="100"/>
    <s v="Cable Organizer"/>
    <n v="4"/>
    <n v="156.06"/>
    <n v="624.24"/>
    <s v="Central"/>
    <s v="Omar Haddad"/>
  </r>
  <r>
    <s v="SO-1144"/>
    <x v="92"/>
    <s v="Standing Desk"/>
    <n v="7"/>
    <n v="209.76"/>
    <n v="1468.32"/>
    <s v="Central"/>
    <s v="Elena Cohen"/>
  </r>
  <r>
    <s v="SO-1145"/>
    <x v="54"/>
    <s v="Webcam 1080p"/>
    <n v="4"/>
    <n v="156.38"/>
    <n v="625.52"/>
    <s v="South"/>
    <s v="Chen Bennett"/>
  </r>
  <r>
    <s v="SO-1146"/>
    <x v="81"/>
    <s v="Ergonomic Chair"/>
    <n v="1"/>
    <n v="160.51"/>
    <n v="160.51"/>
    <s v="North"/>
    <s v="Sofia Kowalski"/>
  </r>
  <r>
    <s v="SO-1147"/>
    <x v="93"/>
    <s v="Webcam 1080p"/>
    <n v="5"/>
    <n v="97.85"/>
    <n v="489.25"/>
    <s v="West"/>
    <s v="Sofia Kowalski"/>
  </r>
  <r>
    <s v="SO-1148"/>
    <x v="34"/>
    <s v="Noise-Cancelling Headphones"/>
    <n v="7"/>
    <n v="154.63"/>
    <n v="1082.4100000000001"/>
    <s v="South"/>
    <s v="Priya Herrera"/>
  </r>
  <r>
    <s v="SO-1149"/>
    <x v="101"/>
    <s v="Noise-Cancelling Headphones"/>
    <n v="3"/>
    <n v="151.96"/>
    <n v="455.88"/>
    <s v="East"/>
    <s v="Sofia Kowalski"/>
  </r>
  <r>
    <s v="SO-1150"/>
    <x v="52"/>
    <s v="27-inch Monitor"/>
    <n v="4"/>
    <n v="150.59"/>
    <n v="602.36"/>
    <s v="Central"/>
    <s v="Omar Haddad"/>
  </r>
  <r>
    <s v="SO-1151"/>
    <x v="89"/>
    <s v="Cable Organizer"/>
    <n v="3"/>
    <n v="52.27"/>
    <n v="156.81"/>
    <s v="East"/>
    <s v="Elena Cohen"/>
  </r>
  <r>
    <s v="SO-1152"/>
    <x v="6"/>
    <s v="Laptop Stand"/>
    <n v="1"/>
    <n v="48.08"/>
    <n v="48.08"/>
    <s v="East"/>
    <s v="Chen Bennett"/>
  </r>
  <r>
    <s v="SO-1153"/>
    <x v="102"/>
    <s v="Webcam 1080p"/>
    <n v="7"/>
    <n v="125.23"/>
    <n v="876.61"/>
    <s v="South"/>
    <s v="Omar Haddad"/>
  </r>
  <r>
    <s v="SO-1154"/>
    <x v="103"/>
    <s v="Ergonomic Chair"/>
    <n v="2"/>
    <n v="76.06"/>
    <n v="152.12"/>
    <s v="West"/>
    <s v="Omar Haddad"/>
  </r>
  <r>
    <s v="SO-1155"/>
    <x v="69"/>
    <s v="Cable Organizer"/>
    <n v="5"/>
    <n v="177.09"/>
    <n v="885.45"/>
    <s v="North"/>
    <s v="TomÃ¡s Tanaka"/>
  </r>
  <r>
    <s v="SO-1156"/>
    <x v="104"/>
    <s v="Standing Desk"/>
    <n v="2"/>
    <n v="81.39"/>
    <n v="162.78"/>
    <s v="North"/>
    <s v="Elena Cohen"/>
  </r>
  <r>
    <s v="SO-1157"/>
    <x v="47"/>
    <s v="Laptop Stand"/>
    <n v="8"/>
    <n v="186.75"/>
    <n v="1494"/>
    <s v="West"/>
    <s v="Sofia Kowalski"/>
  </r>
  <r>
    <s v="SO-1158"/>
    <x v="27"/>
    <s v="USB-C Hub"/>
    <n v="5"/>
    <n v="105.75"/>
    <n v="528.75"/>
    <s v="South"/>
    <s v="Sofia Kowalski"/>
  </r>
  <r>
    <s v="SO-1159"/>
    <x v="65"/>
    <s v="Cable Organizer"/>
    <n v="1"/>
    <n v="166.85"/>
    <n v="166.85"/>
    <s v="East"/>
    <s v="TomÃ¡s Tanaka"/>
  </r>
  <r>
    <s v="SO-1160"/>
    <x v="67"/>
    <s v="Ergonomic Chair"/>
    <n v="4"/>
    <n v="84.28"/>
    <n v="337.12"/>
    <s v="West"/>
    <s v="Priya Herrera"/>
  </r>
  <r>
    <s v="SO-1161"/>
    <x v="62"/>
    <s v="Desk Lamp"/>
    <n v="6"/>
    <n v="131.34"/>
    <n v="788.04"/>
    <s v="South"/>
    <s v="Priya Herrera"/>
  </r>
  <r>
    <s v="SO-1162"/>
    <x v="26"/>
    <s v="Ergonomic Chair"/>
    <n v="5"/>
    <n v="162.13999999999999"/>
    <n v="810.7"/>
    <s v="West"/>
    <s v="Omar Haddad"/>
  </r>
  <r>
    <s v="SO-1163"/>
    <x v="104"/>
    <s v="Wireless Mouse"/>
    <n v="3"/>
    <n v="202.78"/>
    <n v="608.34"/>
    <s v="West"/>
    <s v="Sofia Kowalski"/>
  </r>
  <r>
    <s v="SO-1164"/>
    <x v="105"/>
    <s v="USB-C Hub"/>
    <n v="4"/>
    <n v="15.58"/>
    <n v="62.32"/>
    <s v="East"/>
    <s v="TomÃ¡s Tanaka"/>
  </r>
  <r>
    <s v="SO-1165"/>
    <x v="106"/>
    <s v="External SSD 1TB"/>
    <n v="4"/>
    <n v="80.59"/>
    <n v="322.36"/>
    <s v="North"/>
    <s v="Chen Bennett"/>
  </r>
  <r>
    <s v="SO-1166"/>
    <x v="50"/>
    <s v="27-inch Monitor"/>
    <n v="8"/>
    <n v="82.73"/>
    <n v="661.84"/>
    <s v="West"/>
    <s v="Chen Bennett"/>
  </r>
  <r>
    <s v="SO-1167"/>
    <x v="24"/>
    <s v="Webcam 1080p"/>
    <n v="4"/>
    <n v="20.57"/>
    <n v="82.28"/>
    <s v="West"/>
    <s v="Chen Bennett"/>
  </r>
  <r>
    <s v="SO-1168"/>
    <x v="44"/>
    <s v="27-inch Monitor"/>
    <n v="5"/>
    <n v="26.98"/>
    <n v="134.9"/>
    <s v="Central"/>
    <s v="Sofia Kowalski"/>
  </r>
  <r>
    <s v="SO-1169"/>
    <x v="27"/>
    <s v="Webcam 1080p"/>
    <n v="7"/>
    <n v="216.51"/>
    <n v="1515.57"/>
    <s v="North"/>
    <s v="TomÃ¡s Tanaka"/>
  </r>
  <r>
    <s v="SO-1170"/>
    <x v="7"/>
    <s v="Standing Desk"/>
    <n v="6"/>
    <n v="119.56"/>
    <n v="717.36"/>
    <s v="Central"/>
    <s v="Elena Cohen"/>
  </r>
  <r>
    <s v="SO-1171"/>
    <x v="69"/>
    <s v="Laptop Stand"/>
    <n v="6"/>
    <n v="67.73"/>
    <n v="406.38"/>
    <s v="West"/>
    <s v="Chen Bennett"/>
  </r>
  <r>
    <s v="SO-1172"/>
    <x v="49"/>
    <s v="Noise-Cancelling Headphones"/>
    <n v="3"/>
    <n v="88.69"/>
    <n v="266.07"/>
    <s v="West"/>
    <s v="Priya Herrera"/>
  </r>
  <r>
    <s v="SO-1173"/>
    <x v="107"/>
    <s v="Noise-Cancelling Headphones"/>
    <n v="7"/>
    <n v="17.850000000000001"/>
    <n v="124.95"/>
    <s v="West"/>
    <s v="Elena Cohen"/>
  </r>
  <r>
    <s v="SO-1174"/>
    <x v="108"/>
    <s v="Webcam 1080p"/>
    <n v="2"/>
    <n v="100.99"/>
    <n v="201.98"/>
    <s v="West"/>
    <s v="Priya Herrera"/>
  </r>
  <r>
    <s v="SO-1175"/>
    <x v="14"/>
    <s v="Mechanical Keyboard"/>
    <n v="1"/>
    <n v="111.2"/>
    <n v="111.2"/>
    <s v="Central"/>
    <s v="TomÃ¡s Tanaka"/>
  </r>
  <r>
    <s v="SO-1176"/>
    <x v="109"/>
    <s v="27-inch Monitor"/>
    <n v="2"/>
    <n v="101.15"/>
    <n v="202.3"/>
    <s v="South"/>
    <s v="Elena Cohen"/>
  </r>
  <r>
    <s v="SO-1177"/>
    <x v="34"/>
    <s v="USB-C Hub"/>
    <n v="6"/>
    <n v="133.08000000000001"/>
    <n v="798.48"/>
    <s v="West"/>
    <s v="Priya Herrera"/>
  </r>
  <r>
    <s v="SO-1178"/>
    <x v="31"/>
    <s v="Standing Desk"/>
    <n v="1"/>
    <n v="230.15"/>
    <n v="230.15"/>
    <s v="East"/>
    <s v="Omar Haddad"/>
  </r>
  <r>
    <s v="SO-1179"/>
    <x v="4"/>
    <s v="Desk Lamp"/>
    <n v="6"/>
    <n v="97.76"/>
    <n v="586.55999999999995"/>
    <s v="West"/>
    <s v="Omar Haddad"/>
  </r>
  <r>
    <s v="SO-1180"/>
    <x v="110"/>
    <s v="Standing Desk"/>
    <n v="3"/>
    <n v="71.11"/>
    <n v="213.33"/>
    <s v="East"/>
    <s v="Sofia Kowalski"/>
  </r>
  <r>
    <s v="SO-1181"/>
    <x v="111"/>
    <s v="Laptop Stand"/>
    <n v="3"/>
    <n v="65.77"/>
    <n v="197.31"/>
    <s v="South"/>
    <s v="Priya Herrera"/>
  </r>
  <r>
    <s v="SO-1182"/>
    <x v="47"/>
    <s v="Laptop Stand"/>
    <n v="1"/>
    <n v="31.73"/>
    <n v="31.73"/>
    <s v="West"/>
    <s v="Omar Haddad"/>
  </r>
  <r>
    <s v="SO-1183"/>
    <x v="76"/>
    <s v="Desk Lamp"/>
    <n v="8"/>
    <n v="99.49"/>
    <n v="795.92"/>
    <s v="North"/>
    <s v="Sofia Kowalski"/>
  </r>
  <r>
    <s v="SO-1184"/>
    <x v="112"/>
    <s v="External SSD 1TB"/>
    <n v="2"/>
    <n v="221.17"/>
    <n v="442.34"/>
    <s v="Central"/>
    <s v="TomÃ¡s Tanaka"/>
  </r>
  <r>
    <s v="SO-1185"/>
    <x v="113"/>
    <s v="27-inch Monitor"/>
    <n v="2"/>
    <n v="67.08"/>
    <n v="134.16"/>
    <s v="East"/>
    <s v="Sofia Kowalski"/>
  </r>
  <r>
    <s v="SO-1186"/>
    <x v="114"/>
    <s v="Ergonomic Chair"/>
    <n v="6"/>
    <n v="33.5"/>
    <n v="201"/>
    <s v="West"/>
    <s v="TomÃ¡s Tanaka"/>
  </r>
  <r>
    <s v="SO-1187"/>
    <x v="16"/>
    <s v="27-inch Monitor"/>
    <n v="5"/>
    <n v="50.2"/>
    <n v="251"/>
    <s v="West"/>
    <s v="Chen Bennett"/>
  </r>
  <r>
    <s v="SO-1188"/>
    <x v="115"/>
    <s v="USB-C Hub"/>
    <n v="6"/>
    <n v="58.2"/>
    <n v="349.2"/>
    <s v="East"/>
    <s v="Elena Cohen"/>
  </r>
  <r>
    <s v="SO-1189"/>
    <x v="78"/>
    <s v="USB-C Hub"/>
    <n v="8"/>
    <n v="94.53"/>
    <n v="756.24"/>
    <s v="East"/>
    <s v="Priya Herrera"/>
  </r>
  <r>
    <s v="SO-1190"/>
    <x v="116"/>
    <s v="Noise-Cancelling Headphones"/>
    <n v="1"/>
    <n v="95.14"/>
    <n v="95.14"/>
    <s v="West"/>
    <s v="Elena Cohen"/>
  </r>
  <r>
    <s v="SO-1191"/>
    <x v="110"/>
    <s v="Wireless Mouse"/>
    <n v="4"/>
    <n v="166.53"/>
    <n v="666.12"/>
    <s v="West"/>
    <s v="Priya Herrera"/>
  </r>
  <r>
    <s v="SO-1192"/>
    <x v="8"/>
    <s v="Webcam 1080p"/>
    <n v="7"/>
    <n v="80.180000000000007"/>
    <n v="561.26"/>
    <s v="South"/>
    <s v="Omar Haddad"/>
  </r>
  <r>
    <s v="SO-1193"/>
    <x v="109"/>
    <s v="Desk Lamp"/>
    <n v="4"/>
    <n v="225.85"/>
    <n v="903.4"/>
    <s v="West"/>
    <s v="Elena Cohen"/>
  </r>
  <r>
    <s v="SO-1194"/>
    <x v="84"/>
    <s v="Cable Organizer"/>
    <n v="4"/>
    <n v="213.73"/>
    <n v="854.92"/>
    <s v="West"/>
    <s v="Omar Haddad"/>
  </r>
  <r>
    <s v="SO-1195"/>
    <x v="32"/>
    <s v="Webcam 1080p"/>
    <n v="6"/>
    <n v="235.01"/>
    <n v="1410.06"/>
    <s v="North"/>
    <s v="Sofia Kowalski"/>
  </r>
  <r>
    <s v="SO-1196"/>
    <x v="117"/>
    <s v="Wireless Mouse"/>
    <n v="4"/>
    <n v="177.54"/>
    <n v="710.16"/>
    <s v="Central"/>
    <s v="Priya Herrera"/>
  </r>
  <r>
    <s v="SO-1197"/>
    <x v="32"/>
    <s v="Cable Organizer"/>
    <n v="6"/>
    <n v="210.8"/>
    <n v="1264.8"/>
    <s v="East"/>
    <s v="Omar Haddad"/>
  </r>
  <r>
    <s v="SO-1198"/>
    <x v="102"/>
    <s v="USB-C Hub"/>
    <n v="1"/>
    <n v="10.1"/>
    <n v="10.1"/>
    <s v="South"/>
    <s v="Priya Herrera"/>
  </r>
  <r>
    <s v="SO-1199"/>
    <x v="44"/>
    <s v="Wireless Mouse"/>
    <n v="8"/>
    <n v="192.08"/>
    <n v="1536.64"/>
    <s v="North"/>
    <s v="TomÃ¡s Tanaka"/>
  </r>
  <r>
    <s v="SO-1200"/>
    <x v="42"/>
    <s v="Cable Organizer"/>
    <n v="6"/>
    <n v="134.68"/>
    <n v="808.08"/>
    <s v="North"/>
    <s v="Priya Herrera"/>
  </r>
  <r>
    <s v="SO-1201"/>
    <x v="109"/>
    <s v="External SSD 1TB"/>
    <n v="4"/>
    <n v="24.02"/>
    <n v="96.08"/>
    <s v="Central"/>
    <s v="Chen Bennett"/>
  </r>
  <r>
    <s v="SO-1202"/>
    <x v="118"/>
    <s v="Laptop Stand"/>
    <n v="7"/>
    <n v="90.5"/>
    <n v="633.5"/>
    <s v="East"/>
    <s v="Elena Cohen"/>
  </r>
  <r>
    <s v="SO-1203"/>
    <x v="119"/>
    <s v="Noise-Cancelling Headphones"/>
    <n v="4"/>
    <n v="189.38"/>
    <n v="757.52"/>
    <s v="West"/>
    <s v="TomÃ¡s Tanaka"/>
  </r>
  <r>
    <s v="SO-1204"/>
    <x v="44"/>
    <s v="USB-C Hub"/>
    <n v="6"/>
    <n v="102.39"/>
    <n v="614.34"/>
    <s v="Central"/>
    <s v="Priya Herrera"/>
  </r>
  <r>
    <s v="SO-1205"/>
    <x v="52"/>
    <s v="Noise-Cancelling Headphones"/>
    <n v="4"/>
    <n v="221.55"/>
    <n v="886.2"/>
    <s v="South"/>
    <s v="Chen Bennett"/>
  </r>
  <r>
    <s v="SO-1206"/>
    <x v="120"/>
    <s v="USB-C Hub"/>
    <n v="7"/>
    <n v="229.99"/>
    <n v="1609.93"/>
    <s v="South"/>
    <s v="TomÃ¡s Tanaka"/>
  </r>
  <r>
    <s v="SO-1207"/>
    <x v="35"/>
    <s v="External SSD 1TB"/>
    <n v="3"/>
    <n v="107.72"/>
    <n v="323.16000000000003"/>
    <s v="North"/>
    <s v="Priya Herrera"/>
  </r>
  <r>
    <s v="SO-1208"/>
    <x v="121"/>
    <s v="27-inch Monitor"/>
    <n v="3"/>
    <n v="25.74"/>
    <n v="77.22"/>
    <s v="East"/>
    <s v="Sofia Kowalski"/>
  </r>
  <r>
    <s v="SO-1209"/>
    <x v="80"/>
    <s v="Ergonomic Chair"/>
    <n v="3"/>
    <n v="165.15"/>
    <n v="495.45"/>
    <s v="East"/>
    <s v="Sofia Kowalski"/>
  </r>
  <r>
    <s v="SO-1210"/>
    <x v="122"/>
    <s v="Standing Desk"/>
    <n v="4"/>
    <n v="192.3"/>
    <n v="769.2"/>
    <s v="East"/>
    <s v="Priya Herrera"/>
  </r>
  <r>
    <s v="SO-1211"/>
    <x v="110"/>
    <s v="Desk Lamp"/>
    <n v="8"/>
    <n v="222.49"/>
    <n v="1779.92"/>
    <s v="Central"/>
    <s v="Chen Bennett"/>
  </r>
  <r>
    <s v="SO-1212"/>
    <x v="49"/>
    <s v="Standing Desk"/>
    <n v="4"/>
    <n v="176.62"/>
    <n v="706.48"/>
    <s v="South"/>
    <s v="Elena Cohen"/>
  </r>
  <r>
    <s v="SO-1213"/>
    <x v="104"/>
    <s v="27-inch Monitor"/>
    <n v="4"/>
    <n v="19.88"/>
    <n v="79.52"/>
    <s v="East"/>
    <s v="Sofia Kowalski"/>
  </r>
  <r>
    <s v="SO-1214"/>
    <x v="18"/>
    <s v="Wireless Mouse"/>
    <n v="6"/>
    <n v="80.459999999999994"/>
    <n v="482.76"/>
    <s v="East"/>
    <s v="Omar Haddad"/>
  </r>
  <r>
    <s v="SO-1215"/>
    <x v="123"/>
    <s v="Webcam 1080p"/>
    <n v="8"/>
    <n v="59.83"/>
    <n v="478.64"/>
    <s v="North"/>
    <s v="TomÃ¡s Tanaka"/>
  </r>
  <r>
    <s v="SO-1216"/>
    <x v="124"/>
    <s v="Laptop Stand"/>
    <n v="6"/>
    <n v="247.09"/>
    <n v="1482.54"/>
    <s v="Central"/>
    <s v="TomÃ¡s Tanaka"/>
  </r>
  <r>
    <s v="SO-1217"/>
    <x v="33"/>
    <s v="Laptop Stand"/>
    <n v="8"/>
    <n v="75.78"/>
    <n v="606.24"/>
    <s v="North"/>
    <s v="TomÃ¡s Tanaka"/>
  </r>
  <r>
    <s v="SO-1218"/>
    <x v="6"/>
    <s v="USB-C Hub"/>
    <n v="8"/>
    <n v="84.2"/>
    <n v="673.6"/>
    <s v="South"/>
    <s v="Chen Bennett"/>
  </r>
  <r>
    <s v="SO-1219"/>
    <x v="26"/>
    <s v="Noise-Cancelling Headphones"/>
    <n v="6"/>
    <n v="176.53"/>
    <n v="1059.18"/>
    <s v="East"/>
    <s v="Elena Cohen"/>
  </r>
  <r>
    <s v="SO-1220"/>
    <x v="57"/>
    <s v="Cable Organizer"/>
    <n v="1"/>
    <n v="41.52"/>
    <n v="41.52"/>
    <s v="Central"/>
    <s v="Elena Cohen"/>
  </r>
  <r>
    <s v="SO-1221"/>
    <x v="125"/>
    <s v="Mechanical Keyboard"/>
    <n v="8"/>
    <n v="170.93"/>
    <n v="1367.44"/>
    <s v="South"/>
    <s v="Priya Herrera"/>
  </r>
  <r>
    <s v="SO-1222"/>
    <x v="27"/>
    <s v="Standing Desk"/>
    <n v="6"/>
    <n v="95.04"/>
    <n v="570.24"/>
    <s v="West"/>
    <s v="Priya Herrera"/>
  </r>
  <r>
    <s v="SO-1223"/>
    <x v="82"/>
    <s v="External SSD 1TB"/>
    <n v="5"/>
    <n v="69.34"/>
    <n v="346.7"/>
    <s v="Central"/>
    <s v="Omar Haddad"/>
  </r>
  <r>
    <s v="SO-1224"/>
    <x v="124"/>
    <s v="Noise-Cancelling Headphones"/>
    <n v="6"/>
    <n v="84.34"/>
    <n v="506.04"/>
    <s v="North"/>
    <s v="TomÃ¡s Tanaka"/>
  </r>
  <r>
    <s v="SO-1225"/>
    <x v="126"/>
    <s v="Webcam 1080p"/>
    <n v="7"/>
    <n v="229.31"/>
    <n v="1605.17"/>
    <s v="East"/>
    <s v="Elena Cohen"/>
  </r>
  <r>
    <s v="SO-1226"/>
    <x v="127"/>
    <s v="Standing Desk"/>
    <n v="6"/>
    <n v="94.56"/>
    <n v="567.36"/>
    <s v="South"/>
    <s v="TomÃ¡s Tanaka"/>
  </r>
  <r>
    <s v="SO-1227"/>
    <x v="69"/>
    <s v="27-inch Monitor"/>
    <n v="2"/>
    <n v="69.33"/>
    <n v="138.66"/>
    <s v="West"/>
    <s v="TomÃ¡s Tanaka"/>
  </r>
  <r>
    <s v="SO-1228"/>
    <x v="113"/>
    <s v="27-inch Monitor"/>
    <n v="5"/>
    <n v="188.12"/>
    <n v="940.6"/>
    <s v="Central"/>
    <s v="Priya Herrera"/>
  </r>
  <r>
    <s v="SO-1229"/>
    <x v="23"/>
    <s v="Ergonomic Chair"/>
    <n v="1"/>
    <n v="246.25"/>
    <n v="246.25"/>
    <s v="Central"/>
    <s v="Priya Herrera"/>
  </r>
  <r>
    <s v="SO-1230"/>
    <x v="128"/>
    <s v="Webcam 1080p"/>
    <n v="3"/>
    <n v="112.88"/>
    <n v="338.64"/>
    <s v="North"/>
    <s v="Priya Herrera"/>
  </r>
  <r>
    <s v="SO-1231"/>
    <x v="14"/>
    <s v="Desk Lamp"/>
    <n v="1"/>
    <n v="231.32"/>
    <n v="231.32"/>
    <s v="North"/>
    <s v="Elena Cohen"/>
  </r>
  <r>
    <s v="SO-1232"/>
    <x v="129"/>
    <s v="Standing Desk"/>
    <n v="6"/>
    <n v="22.2"/>
    <n v="133.19999999999999"/>
    <s v="South"/>
    <s v="TomÃ¡s Tanaka"/>
  </r>
  <r>
    <s v="SO-1233"/>
    <x v="49"/>
    <s v="External SSD 1TB"/>
    <n v="1"/>
    <n v="183.55"/>
    <n v="183.55"/>
    <s v="West"/>
    <s v="Omar Haddad"/>
  </r>
  <r>
    <s v="SO-1234"/>
    <x v="104"/>
    <s v="Ergonomic Chair"/>
    <n v="3"/>
    <n v="108.9"/>
    <n v="326.7"/>
    <s v="Central"/>
    <s v="Sofia Kowalski"/>
  </r>
  <r>
    <s v="SO-1235"/>
    <x v="114"/>
    <s v="External SSD 1TB"/>
    <n v="3"/>
    <n v="51.62"/>
    <n v="154.86000000000001"/>
    <s v="North"/>
    <s v="Elena Cohen"/>
  </r>
  <r>
    <s v="SO-1236"/>
    <x v="130"/>
    <s v="Ergonomic Chair"/>
    <n v="2"/>
    <n v="115.03"/>
    <n v="230.06"/>
    <s v="West"/>
    <s v="Chen Bennett"/>
  </r>
  <r>
    <s v="SO-1237"/>
    <x v="129"/>
    <s v="Cable Organizer"/>
    <n v="8"/>
    <n v="208.4"/>
    <n v="1667.2"/>
    <s v="North"/>
    <s v="Sofia Kowalski"/>
  </r>
  <r>
    <s v="SO-1238"/>
    <x v="128"/>
    <s v="Wireless Mouse"/>
    <n v="2"/>
    <n v="137.09"/>
    <n v="274.18"/>
    <s v="East"/>
    <s v="TomÃ¡s Tanaka"/>
  </r>
  <r>
    <s v="SO-1239"/>
    <x v="98"/>
    <s v="Desk Lamp"/>
    <n v="6"/>
    <n v="163.43"/>
    <n v="980.58"/>
    <s v="South"/>
    <s v="Omar Haddad"/>
  </r>
  <r>
    <s v="SO-1240"/>
    <x v="8"/>
    <s v="Webcam 1080p"/>
    <n v="6"/>
    <n v="160.47"/>
    <n v="962.82"/>
    <s v="Central"/>
    <s v="Chen Bennet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SO-1001"/>
    <d v="2026-05-04T00:00:00"/>
    <x v="0"/>
    <n v="6"/>
    <n v="112.7"/>
    <n v="676.2"/>
    <x v="0"/>
    <s v="Sofia Kowalski"/>
  </r>
  <r>
    <s v="SO-1002"/>
    <d v="2026-06-26T00:00:00"/>
    <x v="1"/>
    <n v="6"/>
    <n v="35.78"/>
    <n v="214.68"/>
    <x v="1"/>
    <s v="Sofia Kowalski"/>
  </r>
  <r>
    <s v="SO-1003"/>
    <d v="2026-03-08T00:00:00"/>
    <x v="2"/>
    <n v="1"/>
    <n v="111.15"/>
    <n v="111.15"/>
    <x v="1"/>
    <s v="Elena Cohen"/>
  </r>
  <r>
    <s v="SO-1004"/>
    <d v="2026-02-14T00:00:00"/>
    <x v="3"/>
    <n v="1"/>
    <n v="112.67"/>
    <n v="112.67"/>
    <x v="2"/>
    <s v="Omar Haddad"/>
  </r>
  <r>
    <s v="SO-1005"/>
    <d v="2026-02-22T00:00:00"/>
    <x v="3"/>
    <n v="1"/>
    <n v="54.09"/>
    <n v="54.09"/>
    <x v="3"/>
    <s v="Sofia Kowalski"/>
  </r>
  <r>
    <s v="SO-1006"/>
    <d v="2026-01-18T00:00:00"/>
    <x v="4"/>
    <n v="4"/>
    <n v="215.54"/>
    <n v="862.16"/>
    <x v="4"/>
    <s v="Omar Haddad"/>
  </r>
  <r>
    <s v="SO-1007"/>
    <d v="2026-04-13T00:00:00"/>
    <x v="5"/>
    <n v="3"/>
    <n v="17.52"/>
    <n v="52.56"/>
    <x v="2"/>
    <s v="TomÃ¡s Tanaka"/>
  </r>
  <r>
    <s v="SO-1008"/>
    <d v="2026-05-06T00:00:00"/>
    <x v="6"/>
    <n v="6"/>
    <n v="181.65"/>
    <n v="1089.9000000000001"/>
    <x v="4"/>
    <s v="Omar Haddad"/>
  </r>
  <r>
    <s v="SO-1009"/>
    <d v="2026-04-04T00:00:00"/>
    <x v="7"/>
    <n v="8"/>
    <n v="28.72"/>
    <n v="229.76"/>
    <x v="2"/>
    <s v="Sofia Kowalski"/>
  </r>
  <r>
    <s v="SO-1010"/>
    <d v="2026-03-01T00:00:00"/>
    <x v="8"/>
    <n v="7"/>
    <n v="143.97"/>
    <n v="1007.79"/>
    <x v="2"/>
    <s v="Priya Herrera"/>
  </r>
  <r>
    <s v="SO-1011"/>
    <d v="2026-01-27T00:00:00"/>
    <x v="5"/>
    <n v="7"/>
    <n v="147.79"/>
    <n v="1034.53"/>
    <x v="0"/>
    <s v="Priya Herrera"/>
  </r>
  <r>
    <s v="SO-1012"/>
    <d v="2026-05-19T00:00:00"/>
    <x v="9"/>
    <n v="5"/>
    <n v="206.67"/>
    <n v="1033.3499999999999"/>
    <x v="0"/>
    <s v="Chen Bennett"/>
  </r>
  <r>
    <s v="SO-1013"/>
    <d v="2026-04-19T00:00:00"/>
    <x v="1"/>
    <n v="6"/>
    <n v="119.74"/>
    <n v="718.44"/>
    <x v="1"/>
    <s v="TomÃ¡s Tanaka"/>
  </r>
  <r>
    <s v="SO-1014"/>
    <d v="2026-04-16T00:00:00"/>
    <x v="0"/>
    <n v="2"/>
    <n v="179.18"/>
    <n v="358.36"/>
    <x v="0"/>
    <s v="TomÃ¡s Tanaka"/>
  </r>
  <r>
    <s v="SO-1015"/>
    <d v="2026-06-14T00:00:00"/>
    <x v="10"/>
    <n v="8"/>
    <n v="149.41"/>
    <n v="1195.28"/>
    <x v="2"/>
    <s v="Chen Bennett"/>
  </r>
  <r>
    <s v="SO-1016"/>
    <d v="2026-01-06T00:00:00"/>
    <x v="8"/>
    <n v="1"/>
    <n v="223.56"/>
    <n v="223.56"/>
    <x v="3"/>
    <s v="Elena Cohen"/>
  </r>
  <r>
    <s v="SO-1017"/>
    <d v="2026-03-11T00:00:00"/>
    <x v="4"/>
    <n v="7"/>
    <n v="59.12"/>
    <n v="413.84"/>
    <x v="0"/>
    <s v="Chen Bennett"/>
  </r>
  <r>
    <s v="SO-1018"/>
    <d v="2026-04-17T00:00:00"/>
    <x v="0"/>
    <n v="7"/>
    <n v="90.62"/>
    <n v="634.34"/>
    <x v="2"/>
    <s v="Priya Herrera"/>
  </r>
  <r>
    <s v="SO-1019"/>
    <d v="2026-01-10T00:00:00"/>
    <x v="3"/>
    <n v="2"/>
    <n v="197.09"/>
    <n v="394.18"/>
    <x v="2"/>
    <s v="Sofia Kowalski"/>
  </r>
  <r>
    <s v="SO-1020"/>
    <d v="2026-06-29T00:00:00"/>
    <x v="7"/>
    <n v="4"/>
    <n v="167.13"/>
    <n v="668.52"/>
    <x v="2"/>
    <s v="Priya Herrera"/>
  </r>
  <r>
    <s v="SO-1021"/>
    <d v="2026-04-16T00:00:00"/>
    <x v="9"/>
    <n v="3"/>
    <n v="63.19"/>
    <n v="189.57"/>
    <x v="1"/>
    <s v="Sofia Kowalski"/>
  </r>
  <r>
    <s v="SO-1022"/>
    <d v="2026-03-17T00:00:00"/>
    <x v="10"/>
    <n v="3"/>
    <n v="36.67"/>
    <n v="110.01"/>
    <x v="2"/>
    <s v="TomÃ¡s Tanaka"/>
  </r>
  <r>
    <s v="SO-1023"/>
    <d v="2026-03-26T00:00:00"/>
    <x v="1"/>
    <n v="2"/>
    <n v="179.02"/>
    <n v="358.04"/>
    <x v="3"/>
    <s v="Omar Haddad"/>
  </r>
  <r>
    <s v="SO-1024"/>
    <d v="2026-03-30T00:00:00"/>
    <x v="4"/>
    <n v="1"/>
    <n v="54.88"/>
    <n v="54.88"/>
    <x v="3"/>
    <s v="Elena Cohen"/>
  </r>
  <r>
    <s v="SO-1025"/>
    <d v="2026-06-28T00:00:00"/>
    <x v="7"/>
    <n v="4"/>
    <n v="161.26"/>
    <n v="645.04"/>
    <x v="2"/>
    <s v="Elena Cohen"/>
  </r>
  <r>
    <s v="SO-1026"/>
    <d v="2026-05-21T00:00:00"/>
    <x v="7"/>
    <n v="5"/>
    <n v="214.71"/>
    <n v="1073.55"/>
    <x v="4"/>
    <s v="Sofia Kowalski"/>
  </r>
  <r>
    <s v="SO-1027"/>
    <d v="2026-02-11T00:00:00"/>
    <x v="9"/>
    <n v="5"/>
    <n v="12.96"/>
    <n v="64.8"/>
    <x v="3"/>
    <s v="Sofia Kowalski"/>
  </r>
  <r>
    <s v="SO-1028"/>
    <d v="2026-01-18T00:00:00"/>
    <x v="5"/>
    <n v="5"/>
    <n v="68.38"/>
    <n v="341.9"/>
    <x v="3"/>
    <s v="Priya Herrera"/>
  </r>
  <r>
    <s v="SO-1029"/>
    <d v="2026-06-21T00:00:00"/>
    <x v="0"/>
    <n v="4"/>
    <n v="30.61"/>
    <n v="122.44"/>
    <x v="3"/>
    <s v="Elena Cohen"/>
  </r>
  <r>
    <s v="SO-1030"/>
    <d v="2026-01-24T00:00:00"/>
    <x v="0"/>
    <n v="8"/>
    <n v="103.99"/>
    <n v="831.92"/>
    <x v="3"/>
    <s v="Priya Herrera"/>
  </r>
  <r>
    <s v="SO-1031"/>
    <d v="2026-02-14T00:00:00"/>
    <x v="4"/>
    <n v="1"/>
    <n v="217.69"/>
    <n v="217.69"/>
    <x v="3"/>
    <s v="Elena Cohen"/>
  </r>
  <r>
    <s v="SO-1032"/>
    <d v="2026-06-13T00:00:00"/>
    <x v="9"/>
    <n v="4"/>
    <n v="248.32"/>
    <n v="993.28"/>
    <x v="0"/>
    <s v="Chen Bennett"/>
  </r>
  <r>
    <s v="SO-1033"/>
    <d v="2026-02-12T00:00:00"/>
    <x v="7"/>
    <n v="7"/>
    <n v="197.63"/>
    <n v="1383.41"/>
    <x v="4"/>
    <s v="Omar Haddad"/>
  </r>
  <r>
    <s v="SO-1034"/>
    <d v="2026-04-23T00:00:00"/>
    <x v="11"/>
    <n v="1"/>
    <n v="153.5"/>
    <n v="153.5"/>
    <x v="2"/>
    <s v="Sofia Kowalski"/>
  </r>
  <r>
    <s v="SO-1035"/>
    <d v="2026-06-28T00:00:00"/>
    <x v="3"/>
    <n v="4"/>
    <n v="202.9"/>
    <n v="811.6"/>
    <x v="1"/>
    <s v="Omar Haddad"/>
  </r>
  <r>
    <s v="SO-1036"/>
    <d v="2026-02-26T00:00:00"/>
    <x v="9"/>
    <n v="5"/>
    <n v="135.96"/>
    <n v="679.8"/>
    <x v="3"/>
    <s v="Chen Bennett"/>
  </r>
  <r>
    <s v="SO-1037"/>
    <d v="2026-01-02T00:00:00"/>
    <x v="5"/>
    <n v="6"/>
    <n v="74.489999999999995"/>
    <n v="446.94"/>
    <x v="2"/>
    <s v="Chen Bennett"/>
  </r>
  <r>
    <s v="SO-1038"/>
    <d v="2026-02-02T00:00:00"/>
    <x v="9"/>
    <n v="4"/>
    <n v="115.64"/>
    <n v="462.56"/>
    <x v="2"/>
    <s v="Elena Cohen"/>
  </r>
  <r>
    <s v="SO-1039"/>
    <d v="2026-06-09T00:00:00"/>
    <x v="7"/>
    <n v="5"/>
    <n v="245.5"/>
    <n v="1227.5"/>
    <x v="3"/>
    <s v="Elena Cohen"/>
  </r>
  <r>
    <s v="SO-1040"/>
    <d v="2026-04-30T00:00:00"/>
    <x v="7"/>
    <n v="5"/>
    <n v="161.72"/>
    <n v="808.6"/>
    <x v="3"/>
    <s v="Priya Herrera"/>
  </r>
  <r>
    <s v="SO-1041"/>
    <d v="2026-02-26T00:00:00"/>
    <x v="6"/>
    <n v="1"/>
    <n v="213.38"/>
    <n v="213.38"/>
    <x v="2"/>
    <s v="Sofia Kowalski"/>
  </r>
  <r>
    <s v="SO-1042"/>
    <d v="2026-05-09T00:00:00"/>
    <x v="5"/>
    <n v="3"/>
    <n v="221.01"/>
    <n v="663.03"/>
    <x v="3"/>
    <s v="Elena Cohen"/>
  </r>
  <r>
    <s v="SO-1043"/>
    <d v="2026-05-23T00:00:00"/>
    <x v="3"/>
    <n v="4"/>
    <n v="158.94999999999999"/>
    <n v="635.79999999999995"/>
    <x v="0"/>
    <s v="Elena Cohen"/>
  </r>
  <r>
    <s v="SO-1044"/>
    <d v="2026-02-01T00:00:00"/>
    <x v="5"/>
    <n v="5"/>
    <n v="37.47"/>
    <n v="187.35"/>
    <x v="4"/>
    <s v="Omar Haddad"/>
  </r>
  <r>
    <s v="SO-1045"/>
    <d v="2026-04-02T00:00:00"/>
    <x v="9"/>
    <n v="7"/>
    <n v="124.94"/>
    <n v="874.58"/>
    <x v="1"/>
    <s v="Sofia Kowalski"/>
  </r>
  <r>
    <s v="SO-1046"/>
    <d v="2026-05-11T00:00:00"/>
    <x v="2"/>
    <n v="1"/>
    <n v="80.58"/>
    <n v="80.58"/>
    <x v="4"/>
    <s v="Chen Bennett"/>
  </r>
  <r>
    <s v="SO-1047"/>
    <d v="2026-01-30T00:00:00"/>
    <x v="10"/>
    <n v="7"/>
    <n v="143.93"/>
    <n v="1007.51"/>
    <x v="2"/>
    <s v="Sofia Kowalski"/>
  </r>
  <r>
    <s v="SO-1048"/>
    <d v="2026-01-04T00:00:00"/>
    <x v="8"/>
    <n v="1"/>
    <n v="151.12"/>
    <n v="151.12"/>
    <x v="4"/>
    <s v="TomÃ¡s Tanaka"/>
  </r>
  <r>
    <s v="SO-1049"/>
    <d v="2026-04-12T00:00:00"/>
    <x v="5"/>
    <n v="4"/>
    <n v="84.27"/>
    <n v="337.08"/>
    <x v="1"/>
    <s v="Omar Haddad"/>
  </r>
  <r>
    <s v="SO-1050"/>
    <d v="2026-01-27T00:00:00"/>
    <x v="9"/>
    <n v="1"/>
    <n v="96.96"/>
    <n v="96.96"/>
    <x v="0"/>
    <s v="Sofia Kowalski"/>
  </r>
  <r>
    <s v="SO-1051"/>
    <d v="2026-01-16T00:00:00"/>
    <x v="8"/>
    <n v="7"/>
    <n v="155.38999999999999"/>
    <n v="1087.73"/>
    <x v="3"/>
    <s v="Omar Haddad"/>
  </r>
  <r>
    <s v="SO-1052"/>
    <d v="2026-03-04T00:00:00"/>
    <x v="0"/>
    <n v="3"/>
    <n v="125.54"/>
    <n v="376.62"/>
    <x v="2"/>
    <s v="Sofia Kowalski"/>
  </r>
  <r>
    <s v="SO-1053"/>
    <d v="2026-03-22T00:00:00"/>
    <x v="8"/>
    <n v="5"/>
    <n v="70.790000000000006"/>
    <n v="353.95"/>
    <x v="2"/>
    <s v="TomÃ¡s Tanaka"/>
  </r>
  <r>
    <s v="SO-1054"/>
    <d v="2026-05-09T00:00:00"/>
    <x v="6"/>
    <n v="6"/>
    <n v="204.83"/>
    <n v="1228.98"/>
    <x v="3"/>
    <s v="Sofia Kowalski"/>
  </r>
  <r>
    <s v="SO-1055"/>
    <d v="2026-06-23T00:00:00"/>
    <x v="10"/>
    <n v="8"/>
    <n v="190.17"/>
    <n v="1521.36"/>
    <x v="1"/>
    <s v="Sofia Kowalski"/>
  </r>
  <r>
    <s v="SO-1056"/>
    <d v="2026-06-09T00:00:00"/>
    <x v="11"/>
    <n v="7"/>
    <n v="239.78"/>
    <n v="1678.46"/>
    <x v="3"/>
    <s v="Sofia Kowalski"/>
  </r>
  <r>
    <s v="SO-1057"/>
    <d v="2026-04-03T00:00:00"/>
    <x v="9"/>
    <n v="8"/>
    <n v="14"/>
    <n v="112"/>
    <x v="4"/>
    <s v="Chen Bennett"/>
  </r>
  <r>
    <s v="SO-1058"/>
    <d v="2026-06-20T00:00:00"/>
    <x v="9"/>
    <n v="2"/>
    <n v="191.22"/>
    <n v="382.44"/>
    <x v="3"/>
    <s v="TomÃ¡s Tanaka"/>
  </r>
  <r>
    <s v="SO-1059"/>
    <d v="2026-06-11T00:00:00"/>
    <x v="3"/>
    <n v="2"/>
    <n v="183.47"/>
    <n v="366.94"/>
    <x v="4"/>
    <s v="TomÃ¡s Tanaka"/>
  </r>
  <r>
    <s v="SO-1060"/>
    <d v="2026-06-12T00:00:00"/>
    <x v="11"/>
    <n v="2"/>
    <n v="36.29"/>
    <n v="72.58"/>
    <x v="1"/>
    <s v="Priya Herrera"/>
  </r>
  <r>
    <s v="SO-1061"/>
    <d v="2026-04-27T00:00:00"/>
    <x v="5"/>
    <n v="7"/>
    <n v="208.15"/>
    <n v="1457.05"/>
    <x v="0"/>
    <s v="TomÃ¡s Tanaka"/>
  </r>
  <r>
    <s v="SO-1062"/>
    <d v="2026-01-10T00:00:00"/>
    <x v="7"/>
    <n v="5"/>
    <n v="103.77"/>
    <n v="518.85"/>
    <x v="2"/>
    <s v="Elena Cohen"/>
  </r>
  <r>
    <s v="SO-1063"/>
    <d v="2026-04-01T00:00:00"/>
    <x v="5"/>
    <n v="7"/>
    <n v="229.06"/>
    <n v="1603.42"/>
    <x v="2"/>
    <s v="Elena Cohen"/>
  </r>
  <r>
    <s v="SO-1064"/>
    <d v="2026-06-10T00:00:00"/>
    <x v="10"/>
    <n v="6"/>
    <n v="132.61000000000001"/>
    <n v="795.66"/>
    <x v="1"/>
    <s v="Priya Herrera"/>
  </r>
  <r>
    <s v="SO-1065"/>
    <d v="2026-06-23T00:00:00"/>
    <x v="9"/>
    <n v="7"/>
    <n v="213.29"/>
    <n v="1493.03"/>
    <x v="3"/>
    <s v="Omar Haddad"/>
  </r>
  <r>
    <s v="SO-1066"/>
    <d v="2026-05-27T00:00:00"/>
    <x v="8"/>
    <n v="4"/>
    <n v="105.37"/>
    <n v="421.48"/>
    <x v="1"/>
    <s v="Chen Bennett"/>
  </r>
  <r>
    <s v="SO-1067"/>
    <d v="2026-02-18T00:00:00"/>
    <x v="6"/>
    <n v="1"/>
    <n v="55.16"/>
    <n v="55.16"/>
    <x v="4"/>
    <s v="Chen Bennett"/>
  </r>
  <r>
    <s v="SO-1068"/>
    <d v="2026-03-17T00:00:00"/>
    <x v="6"/>
    <n v="8"/>
    <n v="150.91"/>
    <n v="1207.28"/>
    <x v="0"/>
    <s v="Priya Herrera"/>
  </r>
  <r>
    <s v="SO-1069"/>
    <d v="2026-04-25T00:00:00"/>
    <x v="10"/>
    <n v="8"/>
    <n v="55.16"/>
    <n v="441.28"/>
    <x v="0"/>
    <s v="Elena Cohen"/>
  </r>
  <r>
    <s v="SO-1070"/>
    <d v="2026-05-05T00:00:00"/>
    <x v="7"/>
    <n v="8"/>
    <n v="114.94"/>
    <n v="919.52"/>
    <x v="4"/>
    <s v="TomÃ¡s Tanaka"/>
  </r>
  <r>
    <s v="SO-1071"/>
    <d v="2026-01-21T00:00:00"/>
    <x v="10"/>
    <n v="7"/>
    <n v="123.53"/>
    <n v="864.71"/>
    <x v="2"/>
    <s v="Priya Herrera"/>
  </r>
  <r>
    <s v="SO-1072"/>
    <d v="2026-04-21T00:00:00"/>
    <x v="0"/>
    <n v="6"/>
    <n v="106.03"/>
    <n v="636.17999999999995"/>
    <x v="0"/>
    <s v="TomÃ¡s Tanaka"/>
  </r>
  <r>
    <s v="SO-1073"/>
    <d v="2026-02-16T00:00:00"/>
    <x v="9"/>
    <n v="8"/>
    <n v="179.22"/>
    <n v="1433.76"/>
    <x v="3"/>
    <s v="TomÃ¡s Tanaka"/>
  </r>
  <r>
    <s v="SO-1074"/>
    <d v="2026-04-21T00:00:00"/>
    <x v="7"/>
    <n v="7"/>
    <n v="162.66"/>
    <n v="1138.6199999999999"/>
    <x v="0"/>
    <s v="Chen Bennett"/>
  </r>
  <r>
    <s v="SO-1075"/>
    <d v="2026-05-02T00:00:00"/>
    <x v="8"/>
    <n v="5"/>
    <n v="207.98"/>
    <n v="1039.9000000000001"/>
    <x v="4"/>
    <s v="Sofia Kowalski"/>
  </r>
  <r>
    <s v="SO-1076"/>
    <d v="2026-05-18T00:00:00"/>
    <x v="11"/>
    <n v="7"/>
    <n v="123.91"/>
    <n v="867.37"/>
    <x v="0"/>
    <s v="Sofia Kowalski"/>
  </r>
  <r>
    <s v="SO-1077"/>
    <d v="2026-05-16T00:00:00"/>
    <x v="3"/>
    <n v="4"/>
    <n v="134.83000000000001"/>
    <n v="539.32000000000005"/>
    <x v="3"/>
    <s v="TomÃ¡s Tanaka"/>
  </r>
  <r>
    <s v="SO-1078"/>
    <d v="2026-05-21T00:00:00"/>
    <x v="6"/>
    <n v="6"/>
    <n v="80.19"/>
    <n v="481.14"/>
    <x v="0"/>
    <s v="Omar Haddad"/>
  </r>
  <r>
    <s v="SO-1079"/>
    <d v="2026-04-04T00:00:00"/>
    <x v="2"/>
    <n v="6"/>
    <n v="45.83"/>
    <n v="274.98"/>
    <x v="0"/>
    <s v="Omar Haddad"/>
  </r>
  <r>
    <s v="SO-1080"/>
    <d v="2026-03-12T00:00:00"/>
    <x v="5"/>
    <n v="7"/>
    <n v="97.22"/>
    <n v="680.54"/>
    <x v="4"/>
    <s v="Chen Bennett"/>
  </r>
  <r>
    <s v="SO-1081"/>
    <d v="2026-03-19T00:00:00"/>
    <x v="8"/>
    <n v="7"/>
    <n v="145.34"/>
    <n v="1017.38"/>
    <x v="1"/>
    <s v="Chen Bennett"/>
  </r>
  <r>
    <s v="SO-1082"/>
    <d v="2026-01-23T00:00:00"/>
    <x v="1"/>
    <n v="1"/>
    <n v="78.430000000000007"/>
    <n v="78.430000000000007"/>
    <x v="2"/>
    <s v="Elena Cohen"/>
  </r>
  <r>
    <s v="SO-1083"/>
    <d v="2026-02-22T00:00:00"/>
    <x v="8"/>
    <n v="4"/>
    <n v="24.31"/>
    <n v="97.24"/>
    <x v="1"/>
    <s v="Priya Herrera"/>
  </r>
  <r>
    <s v="SO-1084"/>
    <d v="2026-05-31T00:00:00"/>
    <x v="4"/>
    <n v="3"/>
    <n v="110.73"/>
    <n v="332.19"/>
    <x v="4"/>
    <s v="Sofia Kowalski"/>
  </r>
  <r>
    <s v="SO-1085"/>
    <d v="2026-03-21T00:00:00"/>
    <x v="10"/>
    <n v="1"/>
    <n v="211.31"/>
    <n v="211.31"/>
    <x v="3"/>
    <s v="Chen Bennett"/>
  </r>
  <r>
    <s v="SO-1086"/>
    <d v="2026-01-03T00:00:00"/>
    <x v="3"/>
    <n v="6"/>
    <n v="129.28"/>
    <n v="775.68"/>
    <x v="1"/>
    <s v="Elena Cohen"/>
  </r>
  <r>
    <s v="SO-1087"/>
    <d v="2026-05-12T00:00:00"/>
    <x v="3"/>
    <n v="6"/>
    <n v="119.41"/>
    <n v="716.46"/>
    <x v="2"/>
    <s v="Chen Bennett"/>
  </r>
  <r>
    <s v="SO-1088"/>
    <d v="2026-03-07T00:00:00"/>
    <x v="5"/>
    <n v="5"/>
    <n v="247.06"/>
    <n v="1235.3"/>
    <x v="3"/>
    <s v="TomÃ¡s Tanaka"/>
  </r>
  <r>
    <s v="SO-1089"/>
    <d v="2026-06-26T00:00:00"/>
    <x v="10"/>
    <n v="8"/>
    <n v="70.14"/>
    <n v="561.12"/>
    <x v="1"/>
    <s v="Elena Cohen"/>
  </r>
  <r>
    <s v="SO-1090"/>
    <d v="2026-02-05T00:00:00"/>
    <x v="7"/>
    <n v="8"/>
    <n v="190.32"/>
    <n v="1522.56"/>
    <x v="4"/>
    <s v="TomÃ¡s Tanaka"/>
  </r>
  <r>
    <s v="SO-1091"/>
    <d v="2026-04-26T00:00:00"/>
    <x v="7"/>
    <n v="2"/>
    <n v="47.23"/>
    <n v="94.46"/>
    <x v="3"/>
    <s v="Sofia Kowalski"/>
  </r>
  <r>
    <s v="SO-1092"/>
    <d v="2026-04-30T00:00:00"/>
    <x v="9"/>
    <n v="2"/>
    <n v="129.16"/>
    <n v="258.32"/>
    <x v="2"/>
    <s v="Sofia Kowalski"/>
  </r>
  <r>
    <s v="SO-1093"/>
    <d v="2026-03-24T00:00:00"/>
    <x v="9"/>
    <n v="4"/>
    <n v="204.21"/>
    <n v="816.84"/>
    <x v="0"/>
    <s v="Priya Herrera"/>
  </r>
  <r>
    <s v="SO-1094"/>
    <d v="2026-03-15T00:00:00"/>
    <x v="6"/>
    <n v="7"/>
    <n v="101.14"/>
    <n v="707.98"/>
    <x v="3"/>
    <s v="Elena Cohen"/>
  </r>
  <r>
    <s v="SO-1095"/>
    <d v="2026-06-12T00:00:00"/>
    <x v="3"/>
    <n v="4"/>
    <n v="87.02"/>
    <n v="348.08"/>
    <x v="4"/>
    <s v="TomÃ¡s Tanaka"/>
  </r>
  <r>
    <s v="SO-1096"/>
    <d v="2026-01-14T00:00:00"/>
    <x v="1"/>
    <n v="3"/>
    <n v="95.05"/>
    <n v="285.14999999999998"/>
    <x v="0"/>
    <s v="Omar Haddad"/>
  </r>
  <r>
    <s v="SO-1097"/>
    <d v="2026-01-06T00:00:00"/>
    <x v="3"/>
    <n v="2"/>
    <n v="157.18"/>
    <n v="314.36"/>
    <x v="2"/>
    <s v="Sofia Kowalski"/>
  </r>
  <r>
    <s v="SO-1098"/>
    <d v="2026-06-11T00:00:00"/>
    <x v="0"/>
    <n v="7"/>
    <n v="200.15"/>
    <n v="1401.05"/>
    <x v="1"/>
    <s v="Omar Haddad"/>
  </r>
  <r>
    <s v="SO-1099"/>
    <d v="2026-04-09T00:00:00"/>
    <x v="10"/>
    <n v="8"/>
    <n v="211.02"/>
    <n v="1688.16"/>
    <x v="1"/>
    <s v="Priya Herrera"/>
  </r>
  <r>
    <s v="SO-1100"/>
    <d v="2026-05-28T00:00:00"/>
    <x v="4"/>
    <n v="6"/>
    <n v="95.39"/>
    <n v="572.34"/>
    <x v="0"/>
    <s v="Omar Haddad"/>
  </r>
  <r>
    <s v="SO-1101"/>
    <d v="2026-04-08T00:00:00"/>
    <x v="11"/>
    <n v="3"/>
    <n v="174.42"/>
    <n v="523.26"/>
    <x v="2"/>
    <s v="Priya Herrera"/>
  </r>
  <r>
    <s v="SO-1102"/>
    <d v="2026-05-09T00:00:00"/>
    <x v="5"/>
    <n v="3"/>
    <n v="20.420000000000002"/>
    <n v="61.26"/>
    <x v="0"/>
    <s v="Priya Herrera"/>
  </r>
  <r>
    <s v="SO-1103"/>
    <d v="2026-04-02T00:00:00"/>
    <x v="6"/>
    <n v="2"/>
    <n v="147.5"/>
    <n v="295"/>
    <x v="0"/>
    <s v="Chen Bennett"/>
  </r>
  <r>
    <s v="SO-1104"/>
    <d v="2026-02-17T00:00:00"/>
    <x v="11"/>
    <n v="5"/>
    <n v="145.81"/>
    <n v="729.05"/>
    <x v="0"/>
    <s v="Chen Bennett"/>
  </r>
  <r>
    <s v="SO-1105"/>
    <d v="2026-02-05T00:00:00"/>
    <x v="7"/>
    <n v="8"/>
    <n v="199.7"/>
    <n v="1597.6"/>
    <x v="1"/>
    <s v="Elena Cohen"/>
  </r>
  <r>
    <s v="SO-1106"/>
    <d v="2026-06-24T00:00:00"/>
    <x v="0"/>
    <n v="1"/>
    <n v="136.09"/>
    <n v="136.09"/>
    <x v="0"/>
    <s v="Elena Cohen"/>
  </r>
  <r>
    <s v="SO-1107"/>
    <d v="2026-06-25T00:00:00"/>
    <x v="7"/>
    <n v="5"/>
    <n v="199.37"/>
    <n v="996.85"/>
    <x v="4"/>
    <s v="Elena Cohen"/>
  </r>
  <r>
    <s v="SO-1108"/>
    <d v="2026-03-31T00:00:00"/>
    <x v="8"/>
    <n v="5"/>
    <n v="21.33"/>
    <n v="106.65"/>
    <x v="4"/>
    <s v="Sofia Kowalski"/>
  </r>
  <r>
    <s v="SO-1109"/>
    <d v="2026-04-11T00:00:00"/>
    <x v="0"/>
    <n v="5"/>
    <n v="92.38"/>
    <n v="461.9"/>
    <x v="1"/>
    <s v="Priya Herrera"/>
  </r>
  <r>
    <s v="SO-1110"/>
    <d v="2026-02-13T00:00:00"/>
    <x v="0"/>
    <n v="2"/>
    <n v="82.19"/>
    <n v="164.38"/>
    <x v="0"/>
    <s v="Chen Bennett"/>
  </r>
  <r>
    <s v="SO-1111"/>
    <d v="2026-06-27T00:00:00"/>
    <x v="3"/>
    <n v="5"/>
    <n v="164.71"/>
    <n v="823.55"/>
    <x v="1"/>
    <s v="Chen Bennett"/>
  </r>
  <r>
    <s v="SO-1112"/>
    <d v="2026-02-13T00:00:00"/>
    <x v="3"/>
    <n v="3"/>
    <n v="16.97"/>
    <n v="50.91"/>
    <x v="3"/>
    <s v="Sofia Kowalski"/>
  </r>
  <r>
    <s v="SO-1113"/>
    <d v="2026-03-29T00:00:00"/>
    <x v="5"/>
    <n v="5"/>
    <n v="116.14"/>
    <n v="580.70000000000005"/>
    <x v="3"/>
    <s v="TomÃ¡s Tanaka"/>
  </r>
  <r>
    <s v="SO-1114"/>
    <d v="2026-02-17T00:00:00"/>
    <x v="9"/>
    <n v="8"/>
    <n v="101.26"/>
    <n v="810.08"/>
    <x v="4"/>
    <s v="Priya Herrera"/>
  </r>
  <r>
    <s v="SO-1115"/>
    <d v="2026-03-25T00:00:00"/>
    <x v="5"/>
    <n v="3"/>
    <n v="106.98"/>
    <n v="320.94"/>
    <x v="0"/>
    <s v="Sofia Kowalski"/>
  </r>
  <r>
    <s v="SO-1116"/>
    <d v="2026-06-07T00:00:00"/>
    <x v="4"/>
    <n v="6"/>
    <n v="217.82"/>
    <n v="1306.92"/>
    <x v="0"/>
    <s v="Chen Bennett"/>
  </r>
  <r>
    <s v="SO-1117"/>
    <d v="2026-04-03T00:00:00"/>
    <x v="1"/>
    <n v="4"/>
    <n v="82.75"/>
    <n v="331"/>
    <x v="4"/>
    <s v="Omar Haddad"/>
  </r>
  <r>
    <s v="SO-1118"/>
    <d v="2026-06-28T00:00:00"/>
    <x v="2"/>
    <n v="2"/>
    <n v="63.53"/>
    <n v="127.06"/>
    <x v="0"/>
    <s v="Priya Herrera"/>
  </r>
  <r>
    <s v="SO-1119"/>
    <d v="2026-05-11T00:00:00"/>
    <x v="5"/>
    <n v="5"/>
    <n v="133.97999999999999"/>
    <n v="669.9"/>
    <x v="2"/>
    <s v="Elena Cohen"/>
  </r>
  <r>
    <s v="SO-1120"/>
    <d v="2026-05-08T00:00:00"/>
    <x v="10"/>
    <n v="2"/>
    <n v="40.29"/>
    <n v="80.58"/>
    <x v="3"/>
    <s v="Chen Bennett"/>
  </r>
  <r>
    <s v="SO-1121"/>
    <d v="2026-03-24T00:00:00"/>
    <x v="8"/>
    <n v="5"/>
    <n v="67.680000000000007"/>
    <n v="338.4"/>
    <x v="3"/>
    <s v="Omar Haddad"/>
  </r>
  <r>
    <s v="SO-1122"/>
    <d v="2026-01-24T00:00:00"/>
    <x v="4"/>
    <n v="4"/>
    <n v="155.01"/>
    <n v="620.04"/>
    <x v="3"/>
    <s v="TomÃ¡s Tanaka"/>
  </r>
  <r>
    <s v="SO-1123"/>
    <d v="2026-06-08T00:00:00"/>
    <x v="3"/>
    <n v="7"/>
    <n v="164.92"/>
    <n v="1154.44"/>
    <x v="2"/>
    <s v="Sofia Kowalski"/>
  </r>
  <r>
    <s v="SO-1124"/>
    <d v="2026-01-08T00:00:00"/>
    <x v="2"/>
    <n v="4"/>
    <n v="73.540000000000006"/>
    <n v="294.16000000000003"/>
    <x v="4"/>
    <s v="Chen Bennett"/>
  </r>
  <r>
    <s v="SO-1125"/>
    <d v="2026-02-08T00:00:00"/>
    <x v="7"/>
    <n v="6"/>
    <n v="64.569999999999993"/>
    <n v="387.42"/>
    <x v="4"/>
    <s v="Elena Cohen"/>
  </r>
  <r>
    <s v="SO-1126"/>
    <d v="2026-02-25T00:00:00"/>
    <x v="7"/>
    <n v="6"/>
    <n v="100.31"/>
    <n v="601.86"/>
    <x v="3"/>
    <s v="Chen Bennett"/>
  </r>
  <r>
    <s v="SO-1127"/>
    <d v="2026-01-14T00:00:00"/>
    <x v="10"/>
    <n v="2"/>
    <n v="101.62"/>
    <n v="203.24"/>
    <x v="2"/>
    <s v="Priya Herrera"/>
  </r>
  <r>
    <s v="SO-1128"/>
    <d v="2026-01-24T00:00:00"/>
    <x v="3"/>
    <n v="1"/>
    <n v="218.28"/>
    <n v="218.28"/>
    <x v="2"/>
    <s v="Priya Herrera"/>
  </r>
  <r>
    <s v="SO-1129"/>
    <d v="2026-05-02T00:00:00"/>
    <x v="11"/>
    <n v="7"/>
    <n v="136.88999999999999"/>
    <n v="958.23"/>
    <x v="4"/>
    <s v="Omar Haddad"/>
  </r>
  <r>
    <s v="SO-1130"/>
    <d v="2026-05-19T00:00:00"/>
    <x v="10"/>
    <n v="7"/>
    <n v="222.09"/>
    <n v="1554.63"/>
    <x v="2"/>
    <s v="Priya Herrera"/>
  </r>
  <r>
    <s v="SO-1131"/>
    <d v="2026-06-15T00:00:00"/>
    <x v="0"/>
    <n v="8"/>
    <n v="216.34"/>
    <n v="1730.72"/>
    <x v="1"/>
    <s v="Omar Haddad"/>
  </r>
  <r>
    <s v="SO-1132"/>
    <d v="2026-05-13T00:00:00"/>
    <x v="8"/>
    <n v="8"/>
    <n v="101.86"/>
    <n v="814.88"/>
    <x v="3"/>
    <s v="Sofia Kowalski"/>
  </r>
  <r>
    <s v="SO-1133"/>
    <d v="2026-02-08T00:00:00"/>
    <x v="11"/>
    <n v="4"/>
    <n v="76.08"/>
    <n v="304.32"/>
    <x v="2"/>
    <s v="Omar Haddad"/>
  </r>
  <r>
    <s v="SO-1134"/>
    <d v="2026-05-15T00:00:00"/>
    <x v="3"/>
    <n v="4"/>
    <n v="86.42"/>
    <n v="345.68"/>
    <x v="0"/>
    <s v="TomÃ¡s Tanaka"/>
  </r>
  <r>
    <s v="SO-1135"/>
    <d v="2026-05-18T00:00:00"/>
    <x v="1"/>
    <n v="4"/>
    <n v="173.35"/>
    <n v="693.4"/>
    <x v="1"/>
    <s v="Priya Herrera"/>
  </r>
  <r>
    <s v="SO-1136"/>
    <d v="2026-06-24T00:00:00"/>
    <x v="6"/>
    <n v="1"/>
    <n v="162.11000000000001"/>
    <n v="162.11000000000001"/>
    <x v="4"/>
    <s v="Elena Cohen"/>
  </r>
  <r>
    <s v="SO-1137"/>
    <d v="2026-06-11T00:00:00"/>
    <x v="8"/>
    <n v="5"/>
    <n v="153.15"/>
    <n v="765.75"/>
    <x v="1"/>
    <s v="Priya Herrera"/>
  </r>
  <r>
    <s v="SO-1138"/>
    <d v="2026-05-28T00:00:00"/>
    <x v="9"/>
    <n v="2"/>
    <n v="155.6"/>
    <n v="311.2"/>
    <x v="3"/>
    <s v="Sofia Kowalski"/>
  </r>
  <r>
    <s v="SO-1139"/>
    <d v="2026-05-27T00:00:00"/>
    <x v="2"/>
    <n v="6"/>
    <n v="16.7"/>
    <n v="100.2"/>
    <x v="1"/>
    <s v="Sofia Kowalski"/>
  </r>
  <r>
    <s v="SO-1140"/>
    <d v="2026-01-03T00:00:00"/>
    <x v="8"/>
    <n v="6"/>
    <n v="19.100000000000001"/>
    <n v="114.6"/>
    <x v="0"/>
    <s v="Priya Herrera"/>
  </r>
  <r>
    <s v="SO-1141"/>
    <d v="2026-03-24T00:00:00"/>
    <x v="0"/>
    <n v="7"/>
    <n v="72.069999999999993"/>
    <n v="504.49"/>
    <x v="1"/>
    <s v="TomÃ¡s Tanaka"/>
  </r>
  <r>
    <s v="SO-1142"/>
    <d v="2026-04-20T00:00:00"/>
    <x v="8"/>
    <n v="1"/>
    <n v="124.59"/>
    <n v="124.59"/>
    <x v="2"/>
    <s v="Elena Cohen"/>
  </r>
  <r>
    <s v="SO-1143"/>
    <d v="2026-04-22T00:00:00"/>
    <x v="5"/>
    <n v="4"/>
    <n v="156.06"/>
    <n v="624.24"/>
    <x v="3"/>
    <s v="Omar Haddad"/>
  </r>
  <r>
    <s v="SO-1144"/>
    <d v="2026-06-08T00:00:00"/>
    <x v="2"/>
    <n v="7"/>
    <n v="209.76"/>
    <n v="1468.32"/>
    <x v="3"/>
    <s v="Elena Cohen"/>
  </r>
  <r>
    <s v="SO-1145"/>
    <d v="2026-06-10T00:00:00"/>
    <x v="3"/>
    <n v="4"/>
    <n v="156.38"/>
    <n v="625.52"/>
    <x v="1"/>
    <s v="Chen Bennett"/>
  </r>
  <r>
    <s v="SO-1146"/>
    <d v="2026-02-17T00:00:00"/>
    <x v="8"/>
    <n v="1"/>
    <n v="160.51"/>
    <n v="160.51"/>
    <x v="0"/>
    <s v="Sofia Kowalski"/>
  </r>
  <r>
    <s v="SO-1147"/>
    <d v="2026-01-08T00:00:00"/>
    <x v="3"/>
    <n v="5"/>
    <n v="97.85"/>
    <n v="489.25"/>
    <x v="4"/>
    <s v="Sofia Kowalski"/>
  </r>
  <r>
    <s v="SO-1148"/>
    <d v="2026-06-09T00:00:00"/>
    <x v="6"/>
    <n v="7"/>
    <n v="154.63"/>
    <n v="1082.4100000000001"/>
    <x v="1"/>
    <s v="Priya Herrera"/>
  </r>
  <r>
    <s v="SO-1149"/>
    <d v="2026-06-04T00:00:00"/>
    <x v="6"/>
    <n v="3"/>
    <n v="151.96"/>
    <n v="455.88"/>
    <x v="2"/>
    <s v="Sofia Kowalski"/>
  </r>
  <r>
    <s v="SO-1150"/>
    <d v="2026-04-27T00:00:00"/>
    <x v="11"/>
    <n v="4"/>
    <n v="150.59"/>
    <n v="602.36"/>
    <x v="3"/>
    <s v="Omar Haddad"/>
  </r>
  <r>
    <s v="SO-1151"/>
    <d v="2026-03-25T00:00:00"/>
    <x v="5"/>
    <n v="3"/>
    <n v="52.27"/>
    <n v="156.81"/>
    <x v="2"/>
    <s v="Elena Cohen"/>
  </r>
  <r>
    <s v="SO-1152"/>
    <d v="2026-04-13T00:00:00"/>
    <x v="7"/>
    <n v="1"/>
    <n v="48.08"/>
    <n v="48.08"/>
    <x v="2"/>
    <s v="Chen Bennett"/>
  </r>
  <r>
    <s v="SO-1153"/>
    <d v="2026-03-18T00:00:00"/>
    <x v="3"/>
    <n v="7"/>
    <n v="125.23"/>
    <n v="876.61"/>
    <x v="1"/>
    <s v="Omar Haddad"/>
  </r>
  <r>
    <s v="SO-1154"/>
    <d v="2026-02-07T00:00:00"/>
    <x v="8"/>
    <n v="2"/>
    <n v="76.06"/>
    <n v="152.12"/>
    <x v="4"/>
    <s v="Omar Haddad"/>
  </r>
  <r>
    <s v="SO-1155"/>
    <d v="2026-03-21T00:00:00"/>
    <x v="5"/>
    <n v="5"/>
    <n v="177.09"/>
    <n v="885.45"/>
    <x v="0"/>
    <s v="TomÃ¡s Tanaka"/>
  </r>
  <r>
    <s v="SO-1156"/>
    <d v="2026-03-23T00:00:00"/>
    <x v="2"/>
    <n v="2"/>
    <n v="81.39"/>
    <n v="162.78"/>
    <x v="0"/>
    <s v="Elena Cohen"/>
  </r>
  <r>
    <s v="SO-1157"/>
    <d v="2026-06-23T00:00:00"/>
    <x v="7"/>
    <n v="8"/>
    <n v="186.75"/>
    <n v="1494"/>
    <x v="4"/>
    <s v="Sofia Kowalski"/>
  </r>
  <r>
    <s v="SO-1158"/>
    <d v="2026-01-24T00:00:00"/>
    <x v="1"/>
    <n v="5"/>
    <n v="105.75"/>
    <n v="528.75"/>
    <x v="1"/>
    <s v="Sofia Kowalski"/>
  </r>
  <r>
    <s v="SO-1159"/>
    <d v="2026-03-12T00:00:00"/>
    <x v="5"/>
    <n v="1"/>
    <n v="166.85"/>
    <n v="166.85"/>
    <x v="2"/>
    <s v="TomÃ¡s Tanaka"/>
  </r>
  <r>
    <s v="SO-1160"/>
    <d v="2026-01-23T00:00:00"/>
    <x v="8"/>
    <n v="4"/>
    <n v="84.28"/>
    <n v="337.12"/>
    <x v="4"/>
    <s v="Priya Herrera"/>
  </r>
  <r>
    <s v="SO-1161"/>
    <d v="2026-05-02T00:00:00"/>
    <x v="4"/>
    <n v="6"/>
    <n v="131.34"/>
    <n v="788.04"/>
    <x v="1"/>
    <s v="Priya Herrera"/>
  </r>
  <r>
    <s v="SO-1162"/>
    <d v="2026-06-21T00:00:00"/>
    <x v="8"/>
    <n v="5"/>
    <n v="162.13999999999999"/>
    <n v="810.7"/>
    <x v="4"/>
    <s v="Omar Haddad"/>
  </r>
  <r>
    <s v="SO-1163"/>
    <d v="2026-03-23T00:00:00"/>
    <x v="9"/>
    <n v="3"/>
    <n v="202.78"/>
    <n v="608.34"/>
    <x v="4"/>
    <s v="Sofia Kowalski"/>
  </r>
  <r>
    <s v="SO-1164"/>
    <d v="2026-04-14T00:00:00"/>
    <x v="1"/>
    <n v="4"/>
    <n v="15.58"/>
    <n v="62.32"/>
    <x v="2"/>
    <s v="TomÃ¡s Tanaka"/>
  </r>
  <r>
    <s v="SO-1165"/>
    <d v="2026-01-05T00:00:00"/>
    <x v="10"/>
    <n v="4"/>
    <n v="80.59"/>
    <n v="322.36"/>
    <x v="0"/>
    <s v="Chen Bennett"/>
  </r>
  <r>
    <s v="SO-1166"/>
    <d v="2026-06-11T00:00:00"/>
    <x v="11"/>
    <n v="8"/>
    <n v="82.73"/>
    <n v="661.84"/>
    <x v="4"/>
    <s v="Chen Bennett"/>
  </r>
  <r>
    <s v="SO-1167"/>
    <d v="2026-05-21T00:00:00"/>
    <x v="3"/>
    <n v="4"/>
    <n v="20.57"/>
    <n v="82.28"/>
    <x v="4"/>
    <s v="Chen Bennett"/>
  </r>
  <r>
    <s v="SO-1168"/>
    <d v="2026-01-16T00:00:00"/>
    <x v="11"/>
    <n v="5"/>
    <n v="26.98"/>
    <n v="134.9"/>
    <x v="3"/>
    <s v="Sofia Kowalski"/>
  </r>
  <r>
    <s v="SO-1169"/>
    <d v="2026-01-24T00:00:00"/>
    <x v="3"/>
    <n v="7"/>
    <n v="216.51"/>
    <n v="1515.57"/>
    <x v="0"/>
    <s v="TomÃ¡s Tanaka"/>
  </r>
  <r>
    <s v="SO-1170"/>
    <d v="2026-05-06T00:00:00"/>
    <x v="2"/>
    <n v="6"/>
    <n v="119.56"/>
    <n v="717.36"/>
    <x v="3"/>
    <s v="Elena Cohen"/>
  </r>
  <r>
    <s v="SO-1171"/>
    <d v="2026-03-21T00:00:00"/>
    <x v="7"/>
    <n v="6"/>
    <n v="67.73"/>
    <n v="406.38"/>
    <x v="4"/>
    <s v="Chen Bennett"/>
  </r>
  <r>
    <s v="SO-1172"/>
    <d v="2026-06-20T00:00:00"/>
    <x v="6"/>
    <n v="3"/>
    <n v="88.69"/>
    <n v="266.07"/>
    <x v="4"/>
    <s v="Priya Herrera"/>
  </r>
  <r>
    <s v="SO-1173"/>
    <d v="2026-05-20T00:00:00"/>
    <x v="6"/>
    <n v="7"/>
    <n v="17.850000000000001"/>
    <n v="124.95"/>
    <x v="4"/>
    <s v="Elena Cohen"/>
  </r>
  <r>
    <s v="SO-1174"/>
    <d v="2026-05-07T00:00:00"/>
    <x v="3"/>
    <n v="2"/>
    <n v="100.99"/>
    <n v="201.98"/>
    <x v="4"/>
    <s v="Priya Herrera"/>
  </r>
  <r>
    <s v="SO-1175"/>
    <d v="2026-06-14T00:00:00"/>
    <x v="0"/>
    <n v="1"/>
    <n v="111.2"/>
    <n v="111.2"/>
    <x v="3"/>
    <s v="TomÃ¡s Tanaka"/>
  </r>
  <r>
    <s v="SO-1176"/>
    <d v="2026-03-03T00:00:00"/>
    <x v="11"/>
    <n v="2"/>
    <n v="101.15"/>
    <n v="202.3"/>
    <x v="1"/>
    <s v="Elena Cohen"/>
  </r>
  <r>
    <s v="SO-1177"/>
    <d v="2026-06-09T00:00:00"/>
    <x v="1"/>
    <n v="6"/>
    <n v="133.08000000000001"/>
    <n v="798.48"/>
    <x v="4"/>
    <s v="Priya Herrera"/>
  </r>
  <r>
    <s v="SO-1178"/>
    <d v="2026-02-26T00:00:00"/>
    <x v="2"/>
    <n v="1"/>
    <n v="230.15"/>
    <n v="230.15"/>
    <x v="2"/>
    <s v="Omar Haddad"/>
  </r>
  <r>
    <s v="SO-1179"/>
    <d v="2026-02-22T00:00:00"/>
    <x v="4"/>
    <n v="6"/>
    <n v="97.76"/>
    <n v="586.55999999999995"/>
    <x v="4"/>
    <s v="Omar Haddad"/>
  </r>
  <r>
    <s v="SO-1180"/>
    <d v="2026-05-14T00:00:00"/>
    <x v="2"/>
    <n v="3"/>
    <n v="71.11"/>
    <n v="213.33"/>
    <x v="2"/>
    <s v="Sofia Kowalski"/>
  </r>
  <r>
    <s v="SO-1181"/>
    <d v="2026-06-22T00:00:00"/>
    <x v="7"/>
    <n v="3"/>
    <n v="65.77"/>
    <n v="197.31"/>
    <x v="1"/>
    <s v="Priya Herrera"/>
  </r>
  <r>
    <s v="SO-1182"/>
    <d v="2026-06-23T00:00:00"/>
    <x v="7"/>
    <n v="1"/>
    <n v="31.73"/>
    <n v="31.73"/>
    <x v="4"/>
    <s v="Omar Haddad"/>
  </r>
  <r>
    <s v="SO-1183"/>
    <d v="2026-03-15T00:00:00"/>
    <x v="4"/>
    <n v="8"/>
    <n v="99.49"/>
    <n v="795.92"/>
    <x v="0"/>
    <s v="Sofia Kowalski"/>
  </r>
  <r>
    <s v="SO-1184"/>
    <d v="2026-06-16T00:00:00"/>
    <x v="10"/>
    <n v="2"/>
    <n v="221.17"/>
    <n v="442.34"/>
    <x v="3"/>
    <s v="TomÃ¡s Tanaka"/>
  </r>
  <r>
    <s v="SO-1185"/>
    <d v="2026-04-07T00:00:00"/>
    <x v="11"/>
    <n v="2"/>
    <n v="67.08"/>
    <n v="134.16"/>
    <x v="2"/>
    <s v="Sofia Kowalski"/>
  </r>
  <r>
    <s v="SO-1186"/>
    <d v="2026-02-04T00:00:00"/>
    <x v="8"/>
    <n v="6"/>
    <n v="33.5"/>
    <n v="201"/>
    <x v="4"/>
    <s v="TomÃ¡s Tanaka"/>
  </r>
  <r>
    <s v="SO-1187"/>
    <d v="2026-03-11T00:00:00"/>
    <x v="11"/>
    <n v="5"/>
    <n v="50.2"/>
    <n v="251"/>
    <x v="4"/>
    <s v="Chen Bennett"/>
  </r>
  <r>
    <s v="SO-1188"/>
    <d v="2026-03-20T00:00:00"/>
    <x v="1"/>
    <n v="6"/>
    <n v="58.2"/>
    <n v="349.2"/>
    <x v="2"/>
    <s v="Elena Cohen"/>
  </r>
  <r>
    <s v="SO-1189"/>
    <d v="2026-04-09T00:00:00"/>
    <x v="1"/>
    <n v="8"/>
    <n v="94.53"/>
    <n v="756.24"/>
    <x v="2"/>
    <s v="Priya Herrera"/>
  </r>
  <r>
    <s v="SO-1190"/>
    <d v="2026-04-18T00:00:00"/>
    <x v="6"/>
    <n v="1"/>
    <n v="95.14"/>
    <n v="95.14"/>
    <x v="4"/>
    <s v="Elena Cohen"/>
  </r>
  <r>
    <s v="SO-1191"/>
    <d v="2026-05-14T00:00:00"/>
    <x v="9"/>
    <n v="4"/>
    <n v="166.53"/>
    <n v="666.12"/>
    <x v="4"/>
    <s v="Priya Herrera"/>
  </r>
  <r>
    <s v="SO-1192"/>
    <d v="2026-04-04T00:00:00"/>
    <x v="3"/>
    <n v="7"/>
    <n v="80.180000000000007"/>
    <n v="561.26"/>
    <x v="1"/>
    <s v="Omar Haddad"/>
  </r>
  <r>
    <s v="SO-1193"/>
    <d v="2026-03-03T00:00:00"/>
    <x v="4"/>
    <n v="4"/>
    <n v="225.85"/>
    <n v="903.4"/>
    <x v="4"/>
    <s v="Elena Cohen"/>
  </r>
  <r>
    <s v="SO-1194"/>
    <d v="2026-03-31T00:00:00"/>
    <x v="5"/>
    <n v="4"/>
    <n v="213.73"/>
    <n v="854.92"/>
    <x v="4"/>
    <s v="Omar Haddad"/>
  </r>
  <r>
    <s v="SO-1195"/>
    <d v="2026-01-02T00:00:00"/>
    <x v="3"/>
    <n v="6"/>
    <n v="235.01"/>
    <n v="1410.06"/>
    <x v="0"/>
    <s v="Sofia Kowalski"/>
  </r>
  <r>
    <s v="SO-1196"/>
    <d v="2026-01-26T00:00:00"/>
    <x v="9"/>
    <n v="4"/>
    <n v="177.54"/>
    <n v="710.16"/>
    <x v="3"/>
    <s v="Priya Herrera"/>
  </r>
  <r>
    <s v="SO-1197"/>
    <d v="2026-01-02T00:00:00"/>
    <x v="5"/>
    <n v="6"/>
    <n v="210.8"/>
    <n v="1264.8"/>
    <x v="2"/>
    <s v="Omar Haddad"/>
  </r>
  <r>
    <s v="SO-1198"/>
    <d v="2026-03-18T00:00:00"/>
    <x v="1"/>
    <n v="1"/>
    <n v="10.1"/>
    <n v="10.1"/>
    <x v="1"/>
    <s v="Priya Herrera"/>
  </r>
  <r>
    <s v="SO-1199"/>
    <d v="2026-01-16T00:00:00"/>
    <x v="9"/>
    <n v="8"/>
    <n v="192.08"/>
    <n v="1536.64"/>
    <x v="0"/>
    <s v="TomÃ¡s Tanaka"/>
  </r>
  <r>
    <s v="SO-1200"/>
    <d v="2026-01-04T00:00:00"/>
    <x v="5"/>
    <n v="6"/>
    <n v="134.68"/>
    <n v="808.08"/>
    <x v="0"/>
    <s v="Priya Herrera"/>
  </r>
  <r>
    <s v="SO-1201"/>
    <d v="2026-03-03T00:00:00"/>
    <x v="10"/>
    <n v="4"/>
    <n v="24.02"/>
    <n v="96.08"/>
    <x v="3"/>
    <s v="Chen Bennett"/>
  </r>
  <r>
    <s v="SO-1202"/>
    <d v="2026-06-05T00:00:00"/>
    <x v="7"/>
    <n v="7"/>
    <n v="90.5"/>
    <n v="633.5"/>
    <x v="2"/>
    <s v="Elena Cohen"/>
  </r>
  <r>
    <s v="SO-1203"/>
    <d v="2026-05-29T00:00:00"/>
    <x v="6"/>
    <n v="4"/>
    <n v="189.38"/>
    <n v="757.52"/>
    <x v="4"/>
    <s v="TomÃ¡s Tanaka"/>
  </r>
  <r>
    <s v="SO-1204"/>
    <d v="2026-01-16T00:00:00"/>
    <x v="1"/>
    <n v="6"/>
    <n v="102.39"/>
    <n v="614.34"/>
    <x v="3"/>
    <s v="Priya Herrera"/>
  </r>
  <r>
    <s v="SO-1205"/>
    <d v="2026-04-27T00:00:00"/>
    <x v="6"/>
    <n v="4"/>
    <n v="221.55"/>
    <n v="886.2"/>
    <x v="1"/>
    <s v="Chen Bennett"/>
  </r>
  <r>
    <s v="SO-1206"/>
    <d v="2026-01-28T00:00:00"/>
    <x v="1"/>
    <n v="7"/>
    <n v="229.99"/>
    <n v="1609.93"/>
    <x v="1"/>
    <s v="TomÃ¡s Tanaka"/>
  </r>
  <r>
    <s v="SO-1207"/>
    <d v="2026-04-30T00:00:00"/>
    <x v="10"/>
    <n v="3"/>
    <n v="107.72"/>
    <n v="323.16000000000003"/>
    <x v="0"/>
    <s v="Priya Herrera"/>
  </r>
  <r>
    <s v="SO-1208"/>
    <d v="2026-01-29T00:00:00"/>
    <x v="11"/>
    <n v="3"/>
    <n v="25.74"/>
    <n v="77.22"/>
    <x v="2"/>
    <s v="Sofia Kowalski"/>
  </r>
  <r>
    <s v="SO-1209"/>
    <d v="2026-04-08T00:00:00"/>
    <x v="8"/>
    <n v="3"/>
    <n v="165.15"/>
    <n v="495.45"/>
    <x v="2"/>
    <s v="Sofia Kowalski"/>
  </r>
  <r>
    <s v="SO-1210"/>
    <d v="2026-01-31T00:00:00"/>
    <x v="2"/>
    <n v="4"/>
    <n v="192.3"/>
    <n v="769.2"/>
    <x v="2"/>
    <s v="Priya Herrera"/>
  </r>
  <r>
    <s v="SO-1211"/>
    <d v="2026-05-14T00:00:00"/>
    <x v="4"/>
    <n v="8"/>
    <n v="222.49"/>
    <n v="1779.92"/>
    <x v="3"/>
    <s v="Chen Bennett"/>
  </r>
  <r>
    <s v="SO-1212"/>
    <d v="2026-06-20T00:00:00"/>
    <x v="2"/>
    <n v="4"/>
    <n v="176.62"/>
    <n v="706.48"/>
    <x v="1"/>
    <s v="Elena Cohen"/>
  </r>
  <r>
    <s v="SO-1213"/>
    <d v="2026-03-23T00:00:00"/>
    <x v="11"/>
    <n v="4"/>
    <n v="19.88"/>
    <n v="79.52"/>
    <x v="2"/>
    <s v="Sofia Kowalski"/>
  </r>
  <r>
    <s v="SO-1214"/>
    <d v="2026-01-10T00:00:00"/>
    <x v="9"/>
    <n v="6"/>
    <n v="80.459999999999994"/>
    <n v="482.76"/>
    <x v="2"/>
    <s v="Omar Haddad"/>
  </r>
  <r>
    <s v="SO-1215"/>
    <d v="2026-04-10T00:00:00"/>
    <x v="3"/>
    <n v="8"/>
    <n v="59.83"/>
    <n v="478.64"/>
    <x v="0"/>
    <s v="TomÃ¡s Tanaka"/>
  </r>
  <r>
    <s v="SO-1216"/>
    <d v="2026-04-29T00:00:00"/>
    <x v="7"/>
    <n v="6"/>
    <n v="247.09"/>
    <n v="1482.54"/>
    <x v="3"/>
    <s v="TomÃ¡s Tanaka"/>
  </r>
  <r>
    <s v="SO-1217"/>
    <d v="2026-02-02T00:00:00"/>
    <x v="7"/>
    <n v="8"/>
    <n v="75.78"/>
    <n v="606.24"/>
    <x v="0"/>
    <s v="TomÃ¡s Tanaka"/>
  </r>
  <r>
    <s v="SO-1218"/>
    <d v="2026-04-13T00:00:00"/>
    <x v="1"/>
    <n v="8"/>
    <n v="84.2"/>
    <n v="673.6"/>
    <x v="1"/>
    <s v="Chen Bennett"/>
  </r>
  <r>
    <s v="SO-1219"/>
    <d v="2026-06-21T00:00:00"/>
    <x v="6"/>
    <n v="6"/>
    <n v="176.53"/>
    <n v="1059.18"/>
    <x v="2"/>
    <s v="Elena Cohen"/>
  </r>
  <r>
    <s v="SO-1220"/>
    <d v="2026-04-25T00:00:00"/>
    <x v="5"/>
    <n v="1"/>
    <n v="41.52"/>
    <n v="41.52"/>
    <x v="3"/>
    <s v="Elena Cohen"/>
  </r>
  <r>
    <s v="SO-1221"/>
    <d v="2026-06-19T00:00:00"/>
    <x v="0"/>
    <n v="8"/>
    <n v="170.93"/>
    <n v="1367.44"/>
    <x v="1"/>
    <s v="Priya Herrera"/>
  </r>
  <r>
    <s v="SO-1222"/>
    <d v="2026-01-24T00:00:00"/>
    <x v="2"/>
    <n v="6"/>
    <n v="95.04"/>
    <n v="570.24"/>
    <x v="4"/>
    <s v="Priya Herrera"/>
  </r>
  <r>
    <s v="SO-1223"/>
    <d v="2026-06-24T00:00:00"/>
    <x v="10"/>
    <n v="5"/>
    <n v="69.34"/>
    <n v="346.7"/>
    <x v="3"/>
    <s v="Omar Haddad"/>
  </r>
  <r>
    <s v="SO-1224"/>
    <d v="2026-04-29T00:00:00"/>
    <x v="6"/>
    <n v="6"/>
    <n v="84.34"/>
    <n v="506.04"/>
    <x v="0"/>
    <s v="TomÃ¡s Tanaka"/>
  </r>
  <r>
    <s v="SO-1225"/>
    <d v="2026-03-02T00:00:00"/>
    <x v="3"/>
    <n v="7"/>
    <n v="229.31"/>
    <n v="1605.17"/>
    <x v="2"/>
    <s v="Elena Cohen"/>
  </r>
  <r>
    <s v="SO-1226"/>
    <d v="2026-02-15T00:00:00"/>
    <x v="2"/>
    <n v="6"/>
    <n v="94.56"/>
    <n v="567.36"/>
    <x v="1"/>
    <s v="TomÃ¡s Tanaka"/>
  </r>
  <r>
    <s v="SO-1227"/>
    <d v="2026-03-21T00:00:00"/>
    <x v="11"/>
    <n v="2"/>
    <n v="69.33"/>
    <n v="138.66"/>
    <x v="4"/>
    <s v="TomÃ¡s Tanaka"/>
  </r>
  <r>
    <s v="SO-1228"/>
    <d v="2026-04-07T00:00:00"/>
    <x v="11"/>
    <n v="5"/>
    <n v="188.12"/>
    <n v="940.6"/>
    <x v="3"/>
    <s v="Priya Herrera"/>
  </r>
  <r>
    <s v="SO-1229"/>
    <d v="2026-06-28T00:00:00"/>
    <x v="8"/>
    <n v="1"/>
    <n v="246.25"/>
    <n v="246.25"/>
    <x v="3"/>
    <s v="Priya Herrera"/>
  </r>
  <r>
    <s v="SO-1230"/>
    <d v="2026-05-25T00:00:00"/>
    <x v="3"/>
    <n v="3"/>
    <n v="112.88"/>
    <n v="338.64"/>
    <x v="0"/>
    <s v="Priya Herrera"/>
  </r>
  <r>
    <s v="SO-1231"/>
    <d v="2026-06-14T00:00:00"/>
    <x v="4"/>
    <n v="1"/>
    <n v="231.32"/>
    <n v="231.32"/>
    <x v="0"/>
    <s v="Elena Cohen"/>
  </r>
  <r>
    <s v="SO-1232"/>
    <d v="2026-06-18T00:00:00"/>
    <x v="2"/>
    <n v="6"/>
    <n v="22.2"/>
    <n v="133.19999999999999"/>
    <x v="1"/>
    <s v="TomÃ¡s Tanaka"/>
  </r>
  <r>
    <s v="SO-1233"/>
    <d v="2026-06-20T00:00:00"/>
    <x v="10"/>
    <n v="1"/>
    <n v="183.55"/>
    <n v="183.55"/>
    <x v="4"/>
    <s v="Omar Haddad"/>
  </r>
  <r>
    <s v="SO-1234"/>
    <d v="2026-03-23T00:00:00"/>
    <x v="8"/>
    <n v="3"/>
    <n v="108.9"/>
    <n v="326.7"/>
    <x v="3"/>
    <s v="Sofia Kowalski"/>
  </r>
  <r>
    <s v="SO-1235"/>
    <d v="2026-02-04T00:00:00"/>
    <x v="10"/>
    <n v="3"/>
    <n v="51.62"/>
    <n v="154.86000000000001"/>
    <x v="0"/>
    <s v="Elena Cohen"/>
  </r>
  <r>
    <s v="SO-1236"/>
    <d v="2026-01-07T00:00:00"/>
    <x v="8"/>
    <n v="2"/>
    <n v="115.03"/>
    <n v="230.06"/>
    <x v="4"/>
    <s v="Chen Bennett"/>
  </r>
  <r>
    <s v="SO-1237"/>
    <d v="2026-06-18T00:00:00"/>
    <x v="5"/>
    <n v="8"/>
    <n v="208.4"/>
    <n v="1667.2"/>
    <x v="0"/>
    <s v="Sofia Kowalski"/>
  </r>
  <r>
    <s v="SO-1238"/>
    <d v="2026-05-25T00:00:00"/>
    <x v="9"/>
    <n v="2"/>
    <n v="137.09"/>
    <n v="274.18"/>
    <x v="2"/>
    <s v="TomÃ¡s Tanaka"/>
  </r>
  <r>
    <s v="SO-1239"/>
    <d v="2026-05-15T00:00:00"/>
    <x v="4"/>
    <n v="6"/>
    <n v="163.43"/>
    <n v="980.58"/>
    <x v="1"/>
    <s v="Omar Haddad"/>
  </r>
  <r>
    <s v="SO-1240"/>
    <d v="2026-04-04T00:00:00"/>
    <x v="3"/>
    <n v="6"/>
    <n v="160.47"/>
    <n v="962.82"/>
    <x v="3"/>
    <s v="Chen Benne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0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8">
    <pivotField name="order_id" compact="0" outline="0" multipleItemSelectionAllowed="1" showAll="0"/>
    <pivotField name="date" compact="0" numFmtId="164" outline="0" multipleItemSelectionAllowed="1" showAll="0"/>
    <pivotField name="product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" dataField="1" compact="0" outline="0" multipleItemSelectionAllowed="1" showAll="0"/>
    <pivotField name="region" axis="axisRow" compact="0" outline="0" multipleItemSelectionAllowed="1" showAll="0" sortType="descending">
      <items count="6">
        <item x="0"/>
        <item x="1"/>
        <item x="2"/>
        <item x="3"/>
        <item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alesperson" compact="0" outline="0" multipleItemSelectionAllowed="1" showAll="0"/>
  </pivotFields>
  <rowFields count="1">
    <field x="6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total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Summary 2" cacheId="10" applyNumberFormats="0" applyBorderFormats="0" applyFontFormats="0" applyPatternFormats="0" applyAlignmentFormats="0" applyWidthHeightFormats="0" dataCaption="" updatedVersion="8" compact="0" compactData="0">
  <location ref="A20:B33" firstHeaderRow="1" firstDataRow="1" firstDataCol="1"/>
  <pivotFields count="8">
    <pivotField name="order_id" compact="0" outline="0" multipleItemSelectionAllowed="1" showAll="0"/>
    <pivotField name="date" compact="0" numFmtId="164" outline="0" multipleItemSelectionAllowed="1" showAll="0"/>
    <pivotField name="product" axis="axisRow" compact="0" outline="0" multipleItemSelectionAllowed="1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quantity" compact="0" outline="0" multipleItemSelectionAllowed="1" showAll="0"/>
    <pivotField name="unit_price" compact="0" outline="0" multipleItemSelectionAllowed="1" showAll="0"/>
    <pivotField name="total" dataField="1" compact="0" outline="0" multipleItemSelectionAllowed="1" showAll="0"/>
    <pivotField name="region" compact="0" outline="0" multipleItemSelectionAllowed="1" showAll="0"/>
    <pivotField name="salesperson" compact="0" outline="0" multipleItemSelectionAllowed="1" showAll="0"/>
  </pivotFields>
  <rowFields count="1">
    <field x="2"/>
  </rowFields>
  <rowItems count="13">
    <i>
      <x v="7"/>
    </i>
    <i>
      <x v="3"/>
    </i>
    <i>
      <x v="5"/>
    </i>
    <i>
      <x v="9"/>
    </i>
    <i>
      <x v="10"/>
    </i>
    <i>
      <x v="6"/>
    </i>
    <i>
      <x v="8"/>
    </i>
    <i>
      <x v="4"/>
    </i>
    <i>
      <x/>
    </i>
    <i>
      <x v="11"/>
    </i>
    <i>
      <x v="1"/>
    </i>
    <i>
      <x v="2"/>
    </i>
    <i t="grand">
      <x/>
    </i>
  </rowItems>
  <colItems count="1">
    <i/>
  </colItems>
  <dataFields count="1">
    <dataField name="SUM of total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ummary" cacheId="5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9">
    <pivotField name="order_id" compact="0" outline="0" multipleItemSelectionAllowed="1" showAll="0"/>
    <pivotField name="date" compact="0" numFmtId="164" outline="0" multipleItemSelectionAllowed="1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product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" dataField="1" compact="0" outline="0" multipleItemSelectionAllowed="1" showAll="0"/>
    <pivotField name="region" compact="0" outline="0" multipleItemSelectionAllowed="1" showAll="0"/>
    <pivotField name="salesperson" compact="0" outline="0" multipleItemSelectionAllowed="1" showAll="0"/>
    <pivotField name="date2" axis="axisRow" compact="0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1"/>
  <sheetViews>
    <sheetView workbookViewId="0"/>
  </sheetViews>
  <sheetFormatPr defaultColWidth="12.6640625" defaultRowHeight="15.75" customHeight="1" x14ac:dyDescent="0.25"/>
  <cols>
    <col min="1" max="1" width="8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1" t="s">
        <v>8</v>
      </c>
      <c r="B2" s="2">
        <v>46146</v>
      </c>
      <c r="C2" s="1" t="s">
        <v>9</v>
      </c>
      <c r="D2" s="1">
        <v>6</v>
      </c>
      <c r="E2" s="1">
        <v>112.7</v>
      </c>
      <c r="F2" s="1">
        <v>676.2</v>
      </c>
      <c r="G2" s="1" t="s">
        <v>10</v>
      </c>
      <c r="H2" s="1" t="s">
        <v>11</v>
      </c>
      <c r="I2" s="1" t="b">
        <f t="array" ref="I2:I241">IF(A2:A241="","",ROUND(F2:F241,2)=ROUND(D2:D241*E2:E241,2))</f>
        <v>1</v>
      </c>
    </row>
    <row r="3" spans="1:9" x14ac:dyDescent="0.25">
      <c r="A3" s="1" t="s">
        <v>12</v>
      </c>
      <c r="B3" s="2">
        <v>46199</v>
      </c>
      <c r="C3" s="1" t="s">
        <v>13</v>
      </c>
      <c r="D3" s="1">
        <v>6</v>
      </c>
      <c r="E3" s="1">
        <v>35.78</v>
      </c>
      <c r="F3" s="1">
        <v>214.68</v>
      </c>
      <c r="G3" s="1" t="s">
        <v>14</v>
      </c>
      <c r="H3" s="1" t="s">
        <v>11</v>
      </c>
      <c r="I3" s="1" t="b">
        <v>1</v>
      </c>
    </row>
    <row r="4" spans="1:9" x14ac:dyDescent="0.25">
      <c r="A4" s="1" t="s">
        <v>15</v>
      </c>
      <c r="B4" s="2">
        <v>46089</v>
      </c>
      <c r="C4" s="1" t="s">
        <v>16</v>
      </c>
      <c r="D4" s="1">
        <v>1</v>
      </c>
      <c r="E4" s="1">
        <v>111.15</v>
      </c>
      <c r="F4" s="1">
        <v>111.15</v>
      </c>
      <c r="G4" s="1" t="s">
        <v>14</v>
      </c>
      <c r="H4" s="1" t="s">
        <v>17</v>
      </c>
      <c r="I4" s="1" t="b">
        <v>1</v>
      </c>
    </row>
    <row r="5" spans="1:9" x14ac:dyDescent="0.25">
      <c r="A5" s="1" t="s">
        <v>18</v>
      </c>
      <c r="B5" s="2">
        <v>46067</v>
      </c>
      <c r="C5" s="1" t="s">
        <v>19</v>
      </c>
      <c r="D5" s="1">
        <v>1</v>
      </c>
      <c r="E5" s="1">
        <v>112.67</v>
      </c>
      <c r="F5" s="1">
        <v>112.67</v>
      </c>
      <c r="G5" s="1" t="s">
        <v>20</v>
      </c>
      <c r="H5" s="1" t="s">
        <v>21</v>
      </c>
      <c r="I5" s="1" t="b">
        <v>1</v>
      </c>
    </row>
    <row r="6" spans="1:9" x14ac:dyDescent="0.25">
      <c r="A6" s="1" t="s">
        <v>22</v>
      </c>
      <c r="B6" s="2">
        <v>46075</v>
      </c>
      <c r="C6" s="1" t="s">
        <v>19</v>
      </c>
      <c r="D6" s="1">
        <v>1</v>
      </c>
      <c r="E6" s="1">
        <v>54.09</v>
      </c>
      <c r="F6" s="1">
        <v>54.09</v>
      </c>
      <c r="G6" s="1" t="s">
        <v>23</v>
      </c>
      <c r="H6" s="1" t="s">
        <v>11</v>
      </c>
      <c r="I6" s="1" t="b">
        <v>1</v>
      </c>
    </row>
    <row r="7" spans="1:9" x14ac:dyDescent="0.25">
      <c r="A7" s="1" t="s">
        <v>24</v>
      </c>
      <c r="B7" s="2">
        <v>46040</v>
      </c>
      <c r="C7" s="1" t="s">
        <v>25</v>
      </c>
      <c r="D7" s="1">
        <v>4</v>
      </c>
      <c r="E7" s="1">
        <v>215.54</v>
      </c>
      <c r="F7" s="1">
        <v>862.16</v>
      </c>
      <c r="G7" s="1" t="s">
        <v>26</v>
      </c>
      <c r="H7" s="1" t="s">
        <v>21</v>
      </c>
      <c r="I7" s="1" t="b">
        <v>1</v>
      </c>
    </row>
    <row r="8" spans="1:9" x14ac:dyDescent="0.25">
      <c r="A8" s="1" t="s">
        <v>27</v>
      </c>
      <c r="B8" s="2">
        <v>46125</v>
      </c>
      <c r="C8" s="1" t="s">
        <v>28</v>
      </c>
      <c r="D8" s="1">
        <v>3</v>
      </c>
      <c r="E8" s="1">
        <v>17.52</v>
      </c>
      <c r="F8" s="1">
        <v>52.56</v>
      </c>
      <c r="G8" s="1" t="s">
        <v>20</v>
      </c>
      <c r="H8" s="1" t="s">
        <v>29</v>
      </c>
      <c r="I8" s="1" t="b">
        <v>1</v>
      </c>
    </row>
    <row r="9" spans="1:9" x14ac:dyDescent="0.25">
      <c r="A9" s="1" t="s">
        <v>30</v>
      </c>
      <c r="B9" s="2">
        <v>46148</v>
      </c>
      <c r="C9" s="1" t="s">
        <v>31</v>
      </c>
      <c r="D9" s="1">
        <v>6</v>
      </c>
      <c r="E9" s="1">
        <v>181.65</v>
      </c>
      <c r="F9" s="1">
        <v>1089.9000000000001</v>
      </c>
      <c r="G9" s="1" t="s">
        <v>26</v>
      </c>
      <c r="H9" s="1" t="s">
        <v>21</v>
      </c>
      <c r="I9" s="1" t="b">
        <v>1</v>
      </c>
    </row>
    <row r="10" spans="1:9" x14ac:dyDescent="0.25">
      <c r="A10" s="1" t="s">
        <v>32</v>
      </c>
      <c r="B10" s="2">
        <v>46116</v>
      </c>
      <c r="C10" s="1" t="s">
        <v>33</v>
      </c>
      <c r="D10" s="1">
        <v>8</v>
      </c>
      <c r="E10" s="1">
        <v>28.72</v>
      </c>
      <c r="F10" s="1">
        <v>229.76</v>
      </c>
      <c r="G10" s="1" t="s">
        <v>20</v>
      </c>
      <c r="H10" s="1" t="s">
        <v>11</v>
      </c>
      <c r="I10" s="1" t="b">
        <v>1</v>
      </c>
    </row>
    <row r="11" spans="1:9" x14ac:dyDescent="0.25">
      <c r="A11" s="1" t="s">
        <v>34</v>
      </c>
      <c r="B11" s="2">
        <v>46082</v>
      </c>
      <c r="C11" s="1" t="s">
        <v>35</v>
      </c>
      <c r="D11" s="1">
        <v>7</v>
      </c>
      <c r="E11" s="1">
        <v>143.97</v>
      </c>
      <c r="F11" s="1">
        <v>1007.79</v>
      </c>
      <c r="G11" s="1" t="s">
        <v>20</v>
      </c>
      <c r="H11" s="1" t="s">
        <v>36</v>
      </c>
      <c r="I11" s="1" t="b">
        <v>1</v>
      </c>
    </row>
    <row r="12" spans="1:9" x14ac:dyDescent="0.25">
      <c r="A12" s="1" t="s">
        <v>37</v>
      </c>
      <c r="B12" s="2">
        <v>46049</v>
      </c>
      <c r="C12" s="1" t="s">
        <v>28</v>
      </c>
      <c r="D12" s="1">
        <v>7</v>
      </c>
      <c r="E12" s="1">
        <v>147.79</v>
      </c>
      <c r="F12" s="1">
        <v>1034.53</v>
      </c>
      <c r="G12" s="1" t="s">
        <v>10</v>
      </c>
      <c r="H12" s="1" t="s">
        <v>36</v>
      </c>
      <c r="I12" s="1" t="b">
        <v>1</v>
      </c>
    </row>
    <row r="13" spans="1:9" x14ac:dyDescent="0.25">
      <c r="A13" s="1" t="s">
        <v>38</v>
      </c>
      <c r="B13" s="2">
        <v>46161</v>
      </c>
      <c r="C13" s="1" t="s">
        <v>39</v>
      </c>
      <c r="D13" s="1">
        <v>5</v>
      </c>
      <c r="E13" s="1">
        <v>206.67</v>
      </c>
      <c r="F13" s="1">
        <v>1033.3499999999999</v>
      </c>
      <c r="G13" s="1" t="s">
        <v>10</v>
      </c>
      <c r="H13" s="1" t="s">
        <v>40</v>
      </c>
      <c r="I13" s="1" t="b">
        <v>1</v>
      </c>
    </row>
    <row r="14" spans="1:9" x14ac:dyDescent="0.25">
      <c r="A14" s="1" t="s">
        <v>41</v>
      </c>
      <c r="B14" s="2">
        <v>46131</v>
      </c>
      <c r="C14" s="1" t="s">
        <v>13</v>
      </c>
      <c r="D14" s="1">
        <v>6</v>
      </c>
      <c r="E14" s="1">
        <v>119.74</v>
      </c>
      <c r="F14" s="1">
        <v>718.44</v>
      </c>
      <c r="G14" s="1" t="s">
        <v>14</v>
      </c>
      <c r="H14" s="1" t="s">
        <v>29</v>
      </c>
      <c r="I14" s="1" t="b">
        <v>1</v>
      </c>
    </row>
    <row r="15" spans="1:9" x14ac:dyDescent="0.25">
      <c r="A15" s="1" t="s">
        <v>42</v>
      </c>
      <c r="B15" s="2">
        <v>46128</v>
      </c>
      <c r="C15" s="1" t="s">
        <v>9</v>
      </c>
      <c r="D15" s="1">
        <v>2</v>
      </c>
      <c r="E15" s="1">
        <v>179.18</v>
      </c>
      <c r="F15" s="1">
        <v>358.36</v>
      </c>
      <c r="G15" s="1" t="s">
        <v>10</v>
      </c>
      <c r="H15" s="1" t="s">
        <v>29</v>
      </c>
      <c r="I15" s="1" t="b">
        <v>1</v>
      </c>
    </row>
    <row r="16" spans="1:9" x14ac:dyDescent="0.25">
      <c r="A16" s="1" t="s">
        <v>43</v>
      </c>
      <c r="B16" s="2">
        <v>46187</v>
      </c>
      <c r="C16" s="1" t="s">
        <v>44</v>
      </c>
      <c r="D16" s="1">
        <v>8</v>
      </c>
      <c r="E16" s="1">
        <v>149.41</v>
      </c>
      <c r="F16" s="1">
        <v>1195.28</v>
      </c>
      <c r="G16" s="1" t="s">
        <v>20</v>
      </c>
      <c r="H16" s="1" t="s">
        <v>40</v>
      </c>
      <c r="I16" s="1" t="b">
        <v>1</v>
      </c>
    </row>
    <row r="17" spans="1:9" x14ac:dyDescent="0.25">
      <c r="A17" s="1" t="s">
        <v>45</v>
      </c>
      <c r="B17" s="2">
        <v>46028</v>
      </c>
      <c r="C17" s="1" t="s">
        <v>35</v>
      </c>
      <c r="D17" s="1">
        <v>1</v>
      </c>
      <c r="E17" s="1">
        <v>223.56</v>
      </c>
      <c r="F17" s="1">
        <v>223.56</v>
      </c>
      <c r="G17" s="1" t="s">
        <v>23</v>
      </c>
      <c r="H17" s="1" t="s">
        <v>17</v>
      </c>
      <c r="I17" s="1" t="b">
        <v>1</v>
      </c>
    </row>
    <row r="18" spans="1:9" x14ac:dyDescent="0.25">
      <c r="A18" s="1" t="s">
        <v>46</v>
      </c>
      <c r="B18" s="2">
        <v>46092</v>
      </c>
      <c r="C18" s="1" t="s">
        <v>25</v>
      </c>
      <c r="D18" s="1">
        <v>7</v>
      </c>
      <c r="E18" s="1">
        <v>59.12</v>
      </c>
      <c r="F18" s="1">
        <v>413.84</v>
      </c>
      <c r="G18" s="1" t="s">
        <v>10</v>
      </c>
      <c r="H18" s="1" t="s">
        <v>40</v>
      </c>
      <c r="I18" s="1" t="b">
        <v>1</v>
      </c>
    </row>
    <row r="19" spans="1:9" x14ac:dyDescent="0.25">
      <c r="A19" s="1" t="s">
        <v>47</v>
      </c>
      <c r="B19" s="2">
        <v>46129</v>
      </c>
      <c r="C19" s="1" t="s">
        <v>9</v>
      </c>
      <c r="D19" s="1">
        <v>7</v>
      </c>
      <c r="E19" s="1">
        <v>90.62</v>
      </c>
      <c r="F19" s="1">
        <v>634.34</v>
      </c>
      <c r="G19" s="1" t="s">
        <v>20</v>
      </c>
      <c r="H19" s="1" t="s">
        <v>36</v>
      </c>
      <c r="I19" s="1" t="b">
        <v>1</v>
      </c>
    </row>
    <row r="20" spans="1:9" x14ac:dyDescent="0.25">
      <c r="A20" s="1" t="s">
        <v>48</v>
      </c>
      <c r="B20" s="2">
        <v>46032</v>
      </c>
      <c r="C20" s="1" t="s">
        <v>19</v>
      </c>
      <c r="D20" s="1">
        <v>2</v>
      </c>
      <c r="E20" s="1">
        <v>197.09</v>
      </c>
      <c r="F20" s="1">
        <v>394.18</v>
      </c>
      <c r="G20" s="1" t="s">
        <v>20</v>
      </c>
      <c r="H20" s="1" t="s">
        <v>11</v>
      </c>
      <c r="I20" s="1" t="b">
        <v>1</v>
      </c>
    </row>
    <row r="21" spans="1:9" x14ac:dyDescent="0.25">
      <c r="A21" s="1" t="s">
        <v>49</v>
      </c>
      <c r="B21" s="2">
        <v>46202</v>
      </c>
      <c r="C21" s="1" t="s">
        <v>33</v>
      </c>
      <c r="D21" s="1">
        <v>4</v>
      </c>
      <c r="E21" s="1">
        <v>167.13</v>
      </c>
      <c r="F21" s="1">
        <v>668.52</v>
      </c>
      <c r="G21" s="1" t="s">
        <v>20</v>
      </c>
      <c r="H21" s="1" t="s">
        <v>36</v>
      </c>
      <c r="I21" s="1" t="b">
        <v>1</v>
      </c>
    </row>
    <row r="22" spans="1:9" x14ac:dyDescent="0.25">
      <c r="A22" s="1" t="s">
        <v>50</v>
      </c>
      <c r="B22" s="2">
        <v>46128</v>
      </c>
      <c r="C22" s="1" t="s">
        <v>39</v>
      </c>
      <c r="D22" s="1">
        <v>3</v>
      </c>
      <c r="E22" s="1">
        <v>63.19</v>
      </c>
      <c r="F22" s="1">
        <v>189.57</v>
      </c>
      <c r="G22" s="1" t="s">
        <v>14</v>
      </c>
      <c r="H22" s="1" t="s">
        <v>11</v>
      </c>
      <c r="I22" s="1" t="b">
        <v>1</v>
      </c>
    </row>
    <row r="23" spans="1:9" x14ac:dyDescent="0.25">
      <c r="A23" s="1" t="s">
        <v>51</v>
      </c>
      <c r="B23" s="2">
        <v>46098</v>
      </c>
      <c r="C23" s="1" t="s">
        <v>44</v>
      </c>
      <c r="D23" s="1">
        <v>3</v>
      </c>
      <c r="E23" s="1">
        <v>36.67</v>
      </c>
      <c r="F23" s="1">
        <v>110.01</v>
      </c>
      <c r="G23" s="1" t="s">
        <v>20</v>
      </c>
      <c r="H23" s="1" t="s">
        <v>29</v>
      </c>
      <c r="I23" s="1" t="b">
        <v>1</v>
      </c>
    </row>
    <row r="24" spans="1:9" x14ac:dyDescent="0.25">
      <c r="A24" s="1" t="s">
        <v>52</v>
      </c>
      <c r="B24" s="2">
        <v>46107</v>
      </c>
      <c r="C24" s="1" t="s">
        <v>13</v>
      </c>
      <c r="D24" s="1">
        <v>2</v>
      </c>
      <c r="E24" s="1">
        <v>179.02</v>
      </c>
      <c r="F24" s="1">
        <v>358.04</v>
      </c>
      <c r="G24" s="1" t="s">
        <v>23</v>
      </c>
      <c r="H24" s="1" t="s">
        <v>21</v>
      </c>
      <c r="I24" s="1" t="b">
        <v>1</v>
      </c>
    </row>
    <row r="25" spans="1:9" x14ac:dyDescent="0.25">
      <c r="A25" s="1" t="s">
        <v>53</v>
      </c>
      <c r="B25" s="2">
        <v>46111</v>
      </c>
      <c r="C25" s="1" t="s">
        <v>25</v>
      </c>
      <c r="D25" s="1">
        <v>1</v>
      </c>
      <c r="E25" s="1">
        <v>54.88</v>
      </c>
      <c r="F25" s="1">
        <v>54.88</v>
      </c>
      <c r="G25" s="1" t="s">
        <v>23</v>
      </c>
      <c r="H25" s="1" t="s">
        <v>17</v>
      </c>
      <c r="I25" s="1" t="b">
        <v>1</v>
      </c>
    </row>
    <row r="26" spans="1:9" x14ac:dyDescent="0.25">
      <c r="A26" s="1" t="s">
        <v>54</v>
      </c>
      <c r="B26" s="2">
        <v>46201</v>
      </c>
      <c r="C26" s="1" t="s">
        <v>33</v>
      </c>
      <c r="D26" s="1">
        <v>4</v>
      </c>
      <c r="E26" s="1">
        <v>161.26</v>
      </c>
      <c r="F26" s="1">
        <v>645.04</v>
      </c>
      <c r="G26" s="1" t="s">
        <v>20</v>
      </c>
      <c r="H26" s="1" t="s">
        <v>17</v>
      </c>
      <c r="I26" s="1" t="b">
        <v>1</v>
      </c>
    </row>
    <row r="27" spans="1:9" x14ac:dyDescent="0.25">
      <c r="A27" s="1" t="s">
        <v>55</v>
      </c>
      <c r="B27" s="2">
        <v>46163</v>
      </c>
      <c r="C27" s="1" t="s">
        <v>33</v>
      </c>
      <c r="D27" s="1">
        <v>5</v>
      </c>
      <c r="E27" s="1">
        <v>214.71</v>
      </c>
      <c r="F27" s="1">
        <v>1073.55</v>
      </c>
      <c r="G27" s="1" t="s">
        <v>26</v>
      </c>
      <c r="H27" s="1" t="s">
        <v>11</v>
      </c>
      <c r="I27" s="1" t="b">
        <v>1</v>
      </c>
    </row>
    <row r="28" spans="1:9" x14ac:dyDescent="0.25">
      <c r="A28" s="1" t="s">
        <v>56</v>
      </c>
      <c r="B28" s="2">
        <v>46064</v>
      </c>
      <c r="C28" s="1" t="s">
        <v>39</v>
      </c>
      <c r="D28" s="1">
        <v>5</v>
      </c>
      <c r="E28" s="1">
        <v>12.96</v>
      </c>
      <c r="F28" s="1">
        <v>64.8</v>
      </c>
      <c r="G28" s="1" t="s">
        <v>23</v>
      </c>
      <c r="H28" s="1" t="s">
        <v>11</v>
      </c>
      <c r="I28" s="1" t="b">
        <v>1</v>
      </c>
    </row>
    <row r="29" spans="1:9" x14ac:dyDescent="0.25">
      <c r="A29" s="1" t="s">
        <v>57</v>
      </c>
      <c r="B29" s="2">
        <v>46040</v>
      </c>
      <c r="C29" s="1" t="s">
        <v>28</v>
      </c>
      <c r="D29" s="1">
        <v>5</v>
      </c>
      <c r="E29" s="1">
        <v>68.38</v>
      </c>
      <c r="F29" s="1">
        <v>341.9</v>
      </c>
      <c r="G29" s="1" t="s">
        <v>23</v>
      </c>
      <c r="H29" s="1" t="s">
        <v>36</v>
      </c>
      <c r="I29" s="1" t="b">
        <v>1</v>
      </c>
    </row>
    <row r="30" spans="1:9" x14ac:dyDescent="0.25">
      <c r="A30" s="1" t="s">
        <v>58</v>
      </c>
      <c r="B30" s="2">
        <v>46194</v>
      </c>
      <c r="C30" s="1" t="s">
        <v>9</v>
      </c>
      <c r="D30" s="1">
        <v>4</v>
      </c>
      <c r="E30" s="1">
        <v>30.61</v>
      </c>
      <c r="F30" s="1">
        <v>122.44</v>
      </c>
      <c r="G30" s="1" t="s">
        <v>23</v>
      </c>
      <c r="H30" s="1" t="s">
        <v>17</v>
      </c>
      <c r="I30" s="1" t="b">
        <v>1</v>
      </c>
    </row>
    <row r="31" spans="1:9" x14ac:dyDescent="0.25">
      <c r="A31" s="1" t="s">
        <v>59</v>
      </c>
      <c r="B31" s="2">
        <v>46046</v>
      </c>
      <c r="C31" s="1" t="s">
        <v>9</v>
      </c>
      <c r="D31" s="1">
        <v>8</v>
      </c>
      <c r="E31" s="1">
        <v>103.99</v>
      </c>
      <c r="F31" s="1">
        <v>831.92</v>
      </c>
      <c r="G31" s="1" t="s">
        <v>23</v>
      </c>
      <c r="H31" s="1" t="s">
        <v>36</v>
      </c>
      <c r="I31" s="1" t="b">
        <v>1</v>
      </c>
    </row>
    <row r="32" spans="1:9" x14ac:dyDescent="0.25">
      <c r="A32" s="1" t="s">
        <v>60</v>
      </c>
      <c r="B32" s="2">
        <v>46067</v>
      </c>
      <c r="C32" s="1" t="s">
        <v>25</v>
      </c>
      <c r="D32" s="1">
        <v>1</v>
      </c>
      <c r="E32" s="1">
        <v>217.69</v>
      </c>
      <c r="F32" s="1">
        <v>217.69</v>
      </c>
      <c r="G32" s="1" t="s">
        <v>23</v>
      </c>
      <c r="H32" s="1" t="s">
        <v>17</v>
      </c>
      <c r="I32" s="1" t="b">
        <v>1</v>
      </c>
    </row>
    <row r="33" spans="1:9" x14ac:dyDescent="0.25">
      <c r="A33" s="1" t="s">
        <v>61</v>
      </c>
      <c r="B33" s="2">
        <v>46186</v>
      </c>
      <c r="C33" s="1" t="s">
        <v>39</v>
      </c>
      <c r="D33" s="1">
        <v>4</v>
      </c>
      <c r="E33" s="1">
        <v>248.32</v>
      </c>
      <c r="F33" s="1">
        <v>993.28</v>
      </c>
      <c r="G33" s="1" t="s">
        <v>10</v>
      </c>
      <c r="H33" s="1" t="s">
        <v>40</v>
      </c>
      <c r="I33" s="1" t="b">
        <v>1</v>
      </c>
    </row>
    <row r="34" spans="1:9" x14ac:dyDescent="0.25">
      <c r="A34" s="1" t="s">
        <v>62</v>
      </c>
      <c r="B34" s="2">
        <v>46065</v>
      </c>
      <c r="C34" s="1" t="s">
        <v>33</v>
      </c>
      <c r="D34" s="1">
        <v>7</v>
      </c>
      <c r="E34" s="1">
        <v>197.63</v>
      </c>
      <c r="F34" s="1">
        <v>1383.41</v>
      </c>
      <c r="G34" s="1" t="s">
        <v>26</v>
      </c>
      <c r="H34" s="1" t="s">
        <v>21</v>
      </c>
      <c r="I34" s="1" t="b">
        <v>1</v>
      </c>
    </row>
    <row r="35" spans="1:9" x14ac:dyDescent="0.25">
      <c r="A35" s="1" t="s">
        <v>63</v>
      </c>
      <c r="B35" s="2">
        <v>46135</v>
      </c>
      <c r="C35" s="1" t="s">
        <v>64</v>
      </c>
      <c r="D35" s="1">
        <v>1</v>
      </c>
      <c r="E35" s="1">
        <v>153.5</v>
      </c>
      <c r="F35" s="1">
        <v>153.5</v>
      </c>
      <c r="G35" s="1" t="s">
        <v>20</v>
      </c>
      <c r="H35" s="1" t="s">
        <v>11</v>
      </c>
      <c r="I35" s="1" t="b">
        <v>1</v>
      </c>
    </row>
    <row r="36" spans="1:9" x14ac:dyDescent="0.25">
      <c r="A36" s="1" t="s">
        <v>65</v>
      </c>
      <c r="B36" s="2">
        <v>46201</v>
      </c>
      <c r="C36" s="1" t="s">
        <v>19</v>
      </c>
      <c r="D36" s="1">
        <v>4</v>
      </c>
      <c r="E36" s="1">
        <v>202.9</v>
      </c>
      <c r="F36" s="1">
        <v>811.6</v>
      </c>
      <c r="G36" s="1" t="s">
        <v>14</v>
      </c>
      <c r="H36" s="1" t="s">
        <v>21</v>
      </c>
      <c r="I36" s="1" t="b">
        <v>1</v>
      </c>
    </row>
    <row r="37" spans="1:9" x14ac:dyDescent="0.25">
      <c r="A37" s="1" t="s">
        <v>66</v>
      </c>
      <c r="B37" s="2">
        <v>46079</v>
      </c>
      <c r="C37" s="1" t="s">
        <v>39</v>
      </c>
      <c r="D37" s="1">
        <v>5</v>
      </c>
      <c r="E37" s="1">
        <v>135.96</v>
      </c>
      <c r="F37" s="1">
        <v>679.8</v>
      </c>
      <c r="G37" s="1" t="s">
        <v>23</v>
      </c>
      <c r="H37" s="1" t="s">
        <v>40</v>
      </c>
      <c r="I37" s="1" t="b">
        <v>1</v>
      </c>
    </row>
    <row r="38" spans="1:9" x14ac:dyDescent="0.25">
      <c r="A38" s="1" t="s">
        <v>67</v>
      </c>
      <c r="B38" s="2">
        <v>46024</v>
      </c>
      <c r="C38" s="1" t="s">
        <v>28</v>
      </c>
      <c r="D38" s="1">
        <v>6</v>
      </c>
      <c r="E38" s="1">
        <v>74.489999999999995</v>
      </c>
      <c r="F38" s="1">
        <v>446.94</v>
      </c>
      <c r="G38" s="1" t="s">
        <v>20</v>
      </c>
      <c r="H38" s="1" t="s">
        <v>40</v>
      </c>
      <c r="I38" s="1" t="b">
        <v>1</v>
      </c>
    </row>
    <row r="39" spans="1:9" x14ac:dyDescent="0.25">
      <c r="A39" s="1" t="s">
        <v>68</v>
      </c>
      <c r="B39" s="2">
        <v>46055</v>
      </c>
      <c r="C39" s="1" t="s">
        <v>39</v>
      </c>
      <c r="D39" s="1">
        <v>4</v>
      </c>
      <c r="E39" s="1">
        <v>115.64</v>
      </c>
      <c r="F39" s="1">
        <v>462.56</v>
      </c>
      <c r="G39" s="1" t="s">
        <v>20</v>
      </c>
      <c r="H39" s="1" t="s">
        <v>17</v>
      </c>
      <c r="I39" s="1" t="b">
        <v>1</v>
      </c>
    </row>
    <row r="40" spans="1:9" x14ac:dyDescent="0.25">
      <c r="A40" s="1" t="s">
        <v>69</v>
      </c>
      <c r="B40" s="2">
        <v>46182</v>
      </c>
      <c r="C40" s="1" t="s">
        <v>33</v>
      </c>
      <c r="D40" s="1">
        <v>5</v>
      </c>
      <c r="E40" s="1">
        <v>245.5</v>
      </c>
      <c r="F40" s="1">
        <v>1227.5</v>
      </c>
      <c r="G40" s="1" t="s">
        <v>23</v>
      </c>
      <c r="H40" s="1" t="s">
        <v>17</v>
      </c>
      <c r="I40" s="1" t="b">
        <v>1</v>
      </c>
    </row>
    <row r="41" spans="1:9" x14ac:dyDescent="0.25">
      <c r="A41" s="1" t="s">
        <v>70</v>
      </c>
      <c r="B41" s="2">
        <v>46142</v>
      </c>
      <c r="C41" s="1" t="s">
        <v>33</v>
      </c>
      <c r="D41" s="1">
        <v>5</v>
      </c>
      <c r="E41" s="1">
        <v>161.72</v>
      </c>
      <c r="F41" s="1">
        <v>808.6</v>
      </c>
      <c r="G41" s="1" t="s">
        <v>23</v>
      </c>
      <c r="H41" s="1" t="s">
        <v>36</v>
      </c>
      <c r="I41" s="1" t="b">
        <v>1</v>
      </c>
    </row>
    <row r="42" spans="1:9" x14ac:dyDescent="0.25">
      <c r="A42" s="1" t="s">
        <v>71</v>
      </c>
      <c r="B42" s="2">
        <v>46079</v>
      </c>
      <c r="C42" s="1" t="s">
        <v>31</v>
      </c>
      <c r="D42" s="1">
        <v>1</v>
      </c>
      <c r="E42" s="1">
        <v>213.38</v>
      </c>
      <c r="F42" s="1">
        <v>213.38</v>
      </c>
      <c r="G42" s="1" t="s">
        <v>20</v>
      </c>
      <c r="H42" s="1" t="s">
        <v>11</v>
      </c>
      <c r="I42" s="1" t="b">
        <v>1</v>
      </c>
    </row>
    <row r="43" spans="1:9" x14ac:dyDescent="0.25">
      <c r="A43" s="1" t="s">
        <v>72</v>
      </c>
      <c r="B43" s="2">
        <v>46151</v>
      </c>
      <c r="C43" s="1" t="s">
        <v>28</v>
      </c>
      <c r="D43" s="1">
        <v>3</v>
      </c>
      <c r="E43" s="1">
        <v>221.01</v>
      </c>
      <c r="F43" s="1">
        <v>663.03</v>
      </c>
      <c r="G43" s="1" t="s">
        <v>23</v>
      </c>
      <c r="H43" s="1" t="s">
        <v>17</v>
      </c>
      <c r="I43" s="1" t="b">
        <v>1</v>
      </c>
    </row>
    <row r="44" spans="1:9" x14ac:dyDescent="0.25">
      <c r="A44" s="1" t="s">
        <v>73</v>
      </c>
      <c r="B44" s="2">
        <v>46165</v>
      </c>
      <c r="C44" s="1" t="s">
        <v>19</v>
      </c>
      <c r="D44" s="1">
        <v>4</v>
      </c>
      <c r="E44" s="1">
        <v>158.94999999999999</v>
      </c>
      <c r="F44" s="1">
        <v>635.79999999999995</v>
      </c>
      <c r="G44" s="1" t="s">
        <v>10</v>
      </c>
      <c r="H44" s="1" t="s">
        <v>17</v>
      </c>
      <c r="I44" s="1" t="b">
        <v>1</v>
      </c>
    </row>
    <row r="45" spans="1:9" x14ac:dyDescent="0.25">
      <c r="A45" s="1" t="s">
        <v>74</v>
      </c>
      <c r="B45" s="2">
        <v>46054</v>
      </c>
      <c r="C45" s="1" t="s">
        <v>28</v>
      </c>
      <c r="D45" s="1">
        <v>5</v>
      </c>
      <c r="E45" s="1">
        <v>37.47</v>
      </c>
      <c r="F45" s="1">
        <v>187.35</v>
      </c>
      <c r="G45" s="1" t="s">
        <v>26</v>
      </c>
      <c r="H45" s="1" t="s">
        <v>21</v>
      </c>
      <c r="I45" s="1" t="b">
        <v>1</v>
      </c>
    </row>
    <row r="46" spans="1:9" x14ac:dyDescent="0.25">
      <c r="A46" s="1" t="s">
        <v>75</v>
      </c>
      <c r="B46" s="2">
        <v>46114</v>
      </c>
      <c r="C46" s="1" t="s">
        <v>39</v>
      </c>
      <c r="D46" s="1">
        <v>7</v>
      </c>
      <c r="E46" s="1">
        <v>124.94</v>
      </c>
      <c r="F46" s="1">
        <v>874.58</v>
      </c>
      <c r="G46" s="1" t="s">
        <v>14</v>
      </c>
      <c r="H46" s="1" t="s">
        <v>11</v>
      </c>
      <c r="I46" s="1" t="b">
        <v>1</v>
      </c>
    </row>
    <row r="47" spans="1:9" x14ac:dyDescent="0.25">
      <c r="A47" s="1" t="s">
        <v>76</v>
      </c>
      <c r="B47" s="2">
        <v>46153</v>
      </c>
      <c r="C47" s="1" t="s">
        <v>16</v>
      </c>
      <c r="D47" s="1">
        <v>1</v>
      </c>
      <c r="E47" s="1">
        <v>80.58</v>
      </c>
      <c r="F47" s="1">
        <v>80.58</v>
      </c>
      <c r="G47" s="1" t="s">
        <v>26</v>
      </c>
      <c r="H47" s="1" t="s">
        <v>40</v>
      </c>
      <c r="I47" s="1" t="b">
        <v>1</v>
      </c>
    </row>
    <row r="48" spans="1:9" x14ac:dyDescent="0.25">
      <c r="A48" s="1" t="s">
        <v>77</v>
      </c>
      <c r="B48" s="2">
        <v>46052</v>
      </c>
      <c r="C48" s="1" t="s">
        <v>44</v>
      </c>
      <c r="D48" s="1">
        <v>7</v>
      </c>
      <c r="E48" s="1">
        <v>143.93</v>
      </c>
      <c r="F48" s="1">
        <v>1007.51</v>
      </c>
      <c r="G48" s="1" t="s">
        <v>20</v>
      </c>
      <c r="H48" s="1" t="s">
        <v>11</v>
      </c>
      <c r="I48" s="1" t="b">
        <v>1</v>
      </c>
    </row>
    <row r="49" spans="1:9" x14ac:dyDescent="0.25">
      <c r="A49" s="1" t="s">
        <v>78</v>
      </c>
      <c r="B49" s="2">
        <v>46026</v>
      </c>
      <c r="C49" s="1" t="s">
        <v>35</v>
      </c>
      <c r="D49" s="1">
        <v>1</v>
      </c>
      <c r="E49" s="1">
        <v>151.12</v>
      </c>
      <c r="F49" s="1">
        <v>151.12</v>
      </c>
      <c r="G49" s="1" t="s">
        <v>26</v>
      </c>
      <c r="H49" s="1" t="s">
        <v>29</v>
      </c>
      <c r="I49" s="1" t="b">
        <v>1</v>
      </c>
    </row>
    <row r="50" spans="1:9" x14ac:dyDescent="0.25">
      <c r="A50" s="1" t="s">
        <v>79</v>
      </c>
      <c r="B50" s="2">
        <v>46124</v>
      </c>
      <c r="C50" s="1" t="s">
        <v>28</v>
      </c>
      <c r="D50" s="1">
        <v>4</v>
      </c>
      <c r="E50" s="1">
        <v>84.27</v>
      </c>
      <c r="F50" s="1">
        <v>337.08</v>
      </c>
      <c r="G50" s="1" t="s">
        <v>14</v>
      </c>
      <c r="H50" s="1" t="s">
        <v>21</v>
      </c>
      <c r="I50" s="1" t="b">
        <v>1</v>
      </c>
    </row>
    <row r="51" spans="1:9" x14ac:dyDescent="0.25">
      <c r="A51" s="1" t="s">
        <v>80</v>
      </c>
      <c r="B51" s="2">
        <v>46049</v>
      </c>
      <c r="C51" s="1" t="s">
        <v>39</v>
      </c>
      <c r="D51" s="1">
        <v>1</v>
      </c>
      <c r="E51" s="1">
        <v>96.96</v>
      </c>
      <c r="F51" s="1">
        <v>96.96</v>
      </c>
      <c r="G51" s="1" t="s">
        <v>10</v>
      </c>
      <c r="H51" s="1" t="s">
        <v>11</v>
      </c>
      <c r="I51" s="1" t="b">
        <v>1</v>
      </c>
    </row>
    <row r="52" spans="1:9" x14ac:dyDescent="0.25">
      <c r="A52" s="1" t="s">
        <v>81</v>
      </c>
      <c r="B52" s="2">
        <v>46038</v>
      </c>
      <c r="C52" s="1" t="s">
        <v>35</v>
      </c>
      <c r="D52" s="1">
        <v>7</v>
      </c>
      <c r="E52" s="1">
        <v>155.38999999999999</v>
      </c>
      <c r="F52" s="1">
        <v>1087.73</v>
      </c>
      <c r="G52" s="1" t="s">
        <v>23</v>
      </c>
      <c r="H52" s="1" t="s">
        <v>21</v>
      </c>
      <c r="I52" s="1" t="b">
        <v>1</v>
      </c>
    </row>
    <row r="53" spans="1:9" x14ac:dyDescent="0.25">
      <c r="A53" s="1" t="s">
        <v>82</v>
      </c>
      <c r="B53" s="2">
        <v>46085</v>
      </c>
      <c r="C53" s="1" t="s">
        <v>9</v>
      </c>
      <c r="D53" s="1">
        <v>3</v>
      </c>
      <c r="E53" s="1">
        <v>125.54</v>
      </c>
      <c r="F53" s="1">
        <v>376.62</v>
      </c>
      <c r="G53" s="1" t="s">
        <v>20</v>
      </c>
      <c r="H53" s="1" t="s">
        <v>11</v>
      </c>
      <c r="I53" s="1" t="b">
        <v>1</v>
      </c>
    </row>
    <row r="54" spans="1:9" x14ac:dyDescent="0.25">
      <c r="A54" s="1" t="s">
        <v>83</v>
      </c>
      <c r="B54" s="2">
        <v>46103</v>
      </c>
      <c r="C54" s="1" t="s">
        <v>35</v>
      </c>
      <c r="D54" s="1">
        <v>5</v>
      </c>
      <c r="E54" s="1">
        <v>70.790000000000006</v>
      </c>
      <c r="F54" s="1">
        <v>353.95</v>
      </c>
      <c r="G54" s="1" t="s">
        <v>20</v>
      </c>
      <c r="H54" s="1" t="s">
        <v>29</v>
      </c>
      <c r="I54" s="1" t="b">
        <v>1</v>
      </c>
    </row>
    <row r="55" spans="1:9" x14ac:dyDescent="0.25">
      <c r="A55" s="1" t="s">
        <v>84</v>
      </c>
      <c r="B55" s="2">
        <v>46151</v>
      </c>
      <c r="C55" s="1" t="s">
        <v>31</v>
      </c>
      <c r="D55" s="1">
        <v>6</v>
      </c>
      <c r="E55" s="1">
        <v>204.83</v>
      </c>
      <c r="F55" s="1">
        <v>1228.98</v>
      </c>
      <c r="G55" s="1" t="s">
        <v>23</v>
      </c>
      <c r="H55" s="1" t="s">
        <v>11</v>
      </c>
      <c r="I55" s="1" t="b">
        <v>1</v>
      </c>
    </row>
    <row r="56" spans="1:9" x14ac:dyDescent="0.25">
      <c r="A56" s="1" t="s">
        <v>85</v>
      </c>
      <c r="B56" s="2">
        <v>46196</v>
      </c>
      <c r="C56" s="1" t="s">
        <v>44</v>
      </c>
      <c r="D56" s="1">
        <v>8</v>
      </c>
      <c r="E56" s="1">
        <v>190.17</v>
      </c>
      <c r="F56" s="1">
        <v>1521.36</v>
      </c>
      <c r="G56" s="1" t="s">
        <v>14</v>
      </c>
      <c r="H56" s="1" t="s">
        <v>11</v>
      </c>
      <c r="I56" s="1" t="b">
        <v>1</v>
      </c>
    </row>
    <row r="57" spans="1:9" x14ac:dyDescent="0.25">
      <c r="A57" s="1" t="s">
        <v>86</v>
      </c>
      <c r="B57" s="2">
        <v>46182</v>
      </c>
      <c r="C57" s="1" t="s">
        <v>64</v>
      </c>
      <c r="D57" s="1">
        <v>7</v>
      </c>
      <c r="E57" s="1">
        <v>239.78</v>
      </c>
      <c r="F57" s="1">
        <v>1678.46</v>
      </c>
      <c r="G57" s="1" t="s">
        <v>23</v>
      </c>
      <c r="H57" s="1" t="s">
        <v>11</v>
      </c>
      <c r="I57" s="1" t="b">
        <v>1</v>
      </c>
    </row>
    <row r="58" spans="1:9" x14ac:dyDescent="0.25">
      <c r="A58" s="1" t="s">
        <v>87</v>
      </c>
      <c r="B58" s="2">
        <v>46115</v>
      </c>
      <c r="C58" s="1" t="s">
        <v>39</v>
      </c>
      <c r="D58" s="1">
        <v>8</v>
      </c>
      <c r="E58" s="1">
        <v>14</v>
      </c>
      <c r="F58" s="1">
        <v>112</v>
      </c>
      <c r="G58" s="1" t="s">
        <v>26</v>
      </c>
      <c r="H58" s="1" t="s">
        <v>40</v>
      </c>
      <c r="I58" s="1" t="b">
        <v>1</v>
      </c>
    </row>
    <row r="59" spans="1:9" x14ac:dyDescent="0.25">
      <c r="A59" s="1" t="s">
        <v>88</v>
      </c>
      <c r="B59" s="2">
        <v>46193</v>
      </c>
      <c r="C59" s="1" t="s">
        <v>39</v>
      </c>
      <c r="D59" s="1">
        <v>2</v>
      </c>
      <c r="E59" s="1">
        <v>191.22</v>
      </c>
      <c r="F59" s="1">
        <v>382.44</v>
      </c>
      <c r="G59" s="1" t="s">
        <v>23</v>
      </c>
      <c r="H59" s="1" t="s">
        <v>29</v>
      </c>
      <c r="I59" s="1" t="b">
        <v>1</v>
      </c>
    </row>
    <row r="60" spans="1:9" x14ac:dyDescent="0.25">
      <c r="A60" s="1" t="s">
        <v>89</v>
      </c>
      <c r="B60" s="2">
        <v>46184</v>
      </c>
      <c r="C60" s="1" t="s">
        <v>19</v>
      </c>
      <c r="D60" s="1">
        <v>2</v>
      </c>
      <c r="E60" s="1">
        <v>183.47</v>
      </c>
      <c r="F60" s="1">
        <v>366.94</v>
      </c>
      <c r="G60" s="1" t="s">
        <v>26</v>
      </c>
      <c r="H60" s="1" t="s">
        <v>29</v>
      </c>
      <c r="I60" s="1" t="b">
        <v>1</v>
      </c>
    </row>
    <row r="61" spans="1:9" x14ac:dyDescent="0.25">
      <c r="A61" s="1" t="s">
        <v>90</v>
      </c>
      <c r="B61" s="2">
        <v>46185</v>
      </c>
      <c r="C61" s="1" t="s">
        <v>64</v>
      </c>
      <c r="D61" s="1">
        <v>2</v>
      </c>
      <c r="E61" s="1">
        <v>36.29</v>
      </c>
      <c r="F61" s="1">
        <v>72.58</v>
      </c>
      <c r="G61" s="1" t="s">
        <v>14</v>
      </c>
      <c r="H61" s="1" t="s">
        <v>36</v>
      </c>
      <c r="I61" s="1" t="b">
        <v>1</v>
      </c>
    </row>
    <row r="62" spans="1:9" x14ac:dyDescent="0.25">
      <c r="A62" s="1" t="s">
        <v>91</v>
      </c>
      <c r="B62" s="2">
        <v>46139</v>
      </c>
      <c r="C62" s="1" t="s">
        <v>28</v>
      </c>
      <c r="D62" s="1">
        <v>7</v>
      </c>
      <c r="E62" s="1">
        <v>208.15</v>
      </c>
      <c r="F62" s="1">
        <v>1457.05</v>
      </c>
      <c r="G62" s="1" t="s">
        <v>10</v>
      </c>
      <c r="H62" s="1" t="s">
        <v>29</v>
      </c>
      <c r="I62" s="1" t="b">
        <v>1</v>
      </c>
    </row>
    <row r="63" spans="1:9" x14ac:dyDescent="0.25">
      <c r="A63" s="1" t="s">
        <v>92</v>
      </c>
      <c r="B63" s="2">
        <v>46032</v>
      </c>
      <c r="C63" s="1" t="s">
        <v>33</v>
      </c>
      <c r="D63" s="1">
        <v>5</v>
      </c>
      <c r="E63" s="1">
        <v>103.77</v>
      </c>
      <c r="F63" s="1">
        <v>518.85</v>
      </c>
      <c r="G63" s="1" t="s">
        <v>20</v>
      </c>
      <c r="H63" s="1" t="s">
        <v>17</v>
      </c>
      <c r="I63" s="1" t="b">
        <v>1</v>
      </c>
    </row>
    <row r="64" spans="1:9" x14ac:dyDescent="0.25">
      <c r="A64" s="1" t="s">
        <v>93</v>
      </c>
      <c r="B64" s="2">
        <v>46113</v>
      </c>
      <c r="C64" s="1" t="s">
        <v>28</v>
      </c>
      <c r="D64" s="1">
        <v>7</v>
      </c>
      <c r="E64" s="1">
        <v>229.06</v>
      </c>
      <c r="F64" s="1">
        <v>1603.42</v>
      </c>
      <c r="G64" s="1" t="s">
        <v>20</v>
      </c>
      <c r="H64" s="1" t="s">
        <v>17</v>
      </c>
      <c r="I64" s="1" t="b">
        <v>1</v>
      </c>
    </row>
    <row r="65" spans="1:9" x14ac:dyDescent="0.25">
      <c r="A65" s="1" t="s">
        <v>94</v>
      </c>
      <c r="B65" s="2">
        <v>46183</v>
      </c>
      <c r="C65" s="1" t="s">
        <v>44</v>
      </c>
      <c r="D65" s="1">
        <v>6</v>
      </c>
      <c r="E65" s="1">
        <v>132.61000000000001</v>
      </c>
      <c r="F65" s="1">
        <v>795.66</v>
      </c>
      <c r="G65" s="1" t="s">
        <v>14</v>
      </c>
      <c r="H65" s="1" t="s">
        <v>36</v>
      </c>
      <c r="I65" s="1" t="b">
        <v>1</v>
      </c>
    </row>
    <row r="66" spans="1:9" x14ac:dyDescent="0.25">
      <c r="A66" s="1" t="s">
        <v>95</v>
      </c>
      <c r="B66" s="2">
        <v>46196</v>
      </c>
      <c r="C66" s="1" t="s">
        <v>39</v>
      </c>
      <c r="D66" s="1">
        <v>7</v>
      </c>
      <c r="E66" s="1">
        <v>213.29</v>
      </c>
      <c r="F66" s="1">
        <v>1493.03</v>
      </c>
      <c r="G66" s="1" t="s">
        <v>23</v>
      </c>
      <c r="H66" s="1" t="s">
        <v>21</v>
      </c>
      <c r="I66" s="1" t="b">
        <v>1</v>
      </c>
    </row>
    <row r="67" spans="1:9" x14ac:dyDescent="0.25">
      <c r="A67" s="1" t="s">
        <v>96</v>
      </c>
      <c r="B67" s="2">
        <v>46169</v>
      </c>
      <c r="C67" s="1" t="s">
        <v>35</v>
      </c>
      <c r="D67" s="1">
        <v>4</v>
      </c>
      <c r="E67" s="1">
        <v>105.37</v>
      </c>
      <c r="F67" s="1">
        <v>421.48</v>
      </c>
      <c r="G67" s="1" t="s">
        <v>14</v>
      </c>
      <c r="H67" s="1" t="s">
        <v>40</v>
      </c>
      <c r="I67" s="1" t="b">
        <v>1</v>
      </c>
    </row>
    <row r="68" spans="1:9" x14ac:dyDescent="0.25">
      <c r="A68" s="1" t="s">
        <v>97</v>
      </c>
      <c r="B68" s="2">
        <v>46071</v>
      </c>
      <c r="C68" s="1" t="s">
        <v>31</v>
      </c>
      <c r="D68" s="1">
        <v>1</v>
      </c>
      <c r="E68" s="1">
        <v>55.16</v>
      </c>
      <c r="F68" s="1">
        <v>55.16</v>
      </c>
      <c r="G68" s="1" t="s">
        <v>26</v>
      </c>
      <c r="H68" s="1" t="s">
        <v>40</v>
      </c>
      <c r="I68" s="1" t="b">
        <v>1</v>
      </c>
    </row>
    <row r="69" spans="1:9" x14ac:dyDescent="0.25">
      <c r="A69" s="1" t="s">
        <v>98</v>
      </c>
      <c r="B69" s="2">
        <v>46098</v>
      </c>
      <c r="C69" s="1" t="s">
        <v>31</v>
      </c>
      <c r="D69" s="1">
        <v>8</v>
      </c>
      <c r="E69" s="1">
        <v>150.91</v>
      </c>
      <c r="F69" s="1">
        <v>1207.28</v>
      </c>
      <c r="G69" s="1" t="s">
        <v>10</v>
      </c>
      <c r="H69" s="1" t="s">
        <v>36</v>
      </c>
      <c r="I69" s="1" t="b">
        <v>1</v>
      </c>
    </row>
    <row r="70" spans="1:9" x14ac:dyDescent="0.25">
      <c r="A70" s="1" t="s">
        <v>99</v>
      </c>
      <c r="B70" s="2">
        <v>46137</v>
      </c>
      <c r="C70" s="1" t="s">
        <v>44</v>
      </c>
      <c r="D70" s="1">
        <v>8</v>
      </c>
      <c r="E70" s="1">
        <v>55.16</v>
      </c>
      <c r="F70" s="1">
        <v>441.28</v>
      </c>
      <c r="G70" s="1" t="s">
        <v>10</v>
      </c>
      <c r="H70" s="1" t="s">
        <v>17</v>
      </c>
      <c r="I70" s="1" t="b">
        <v>1</v>
      </c>
    </row>
    <row r="71" spans="1:9" x14ac:dyDescent="0.25">
      <c r="A71" s="1" t="s">
        <v>100</v>
      </c>
      <c r="B71" s="2">
        <v>46147</v>
      </c>
      <c r="C71" s="1" t="s">
        <v>33</v>
      </c>
      <c r="D71" s="1">
        <v>8</v>
      </c>
      <c r="E71" s="1">
        <v>114.94</v>
      </c>
      <c r="F71" s="1">
        <v>919.52</v>
      </c>
      <c r="G71" s="1" t="s">
        <v>26</v>
      </c>
      <c r="H71" s="1" t="s">
        <v>29</v>
      </c>
      <c r="I71" s="1" t="b">
        <v>1</v>
      </c>
    </row>
    <row r="72" spans="1:9" x14ac:dyDescent="0.25">
      <c r="A72" s="1" t="s">
        <v>101</v>
      </c>
      <c r="B72" s="2">
        <v>46043</v>
      </c>
      <c r="C72" s="1" t="s">
        <v>44</v>
      </c>
      <c r="D72" s="1">
        <v>7</v>
      </c>
      <c r="E72" s="1">
        <v>123.53</v>
      </c>
      <c r="F72" s="1">
        <v>864.71</v>
      </c>
      <c r="G72" s="1" t="s">
        <v>20</v>
      </c>
      <c r="H72" s="1" t="s">
        <v>36</v>
      </c>
      <c r="I72" s="1" t="b">
        <v>1</v>
      </c>
    </row>
    <row r="73" spans="1:9" x14ac:dyDescent="0.25">
      <c r="A73" s="1" t="s">
        <v>102</v>
      </c>
      <c r="B73" s="2">
        <v>46133</v>
      </c>
      <c r="C73" s="1" t="s">
        <v>9</v>
      </c>
      <c r="D73" s="1">
        <v>6</v>
      </c>
      <c r="E73" s="1">
        <v>106.03</v>
      </c>
      <c r="F73" s="1">
        <v>636.17999999999995</v>
      </c>
      <c r="G73" s="1" t="s">
        <v>10</v>
      </c>
      <c r="H73" s="1" t="s">
        <v>29</v>
      </c>
      <c r="I73" s="1" t="b">
        <v>1</v>
      </c>
    </row>
    <row r="74" spans="1:9" x14ac:dyDescent="0.25">
      <c r="A74" s="1" t="s">
        <v>103</v>
      </c>
      <c r="B74" s="2">
        <v>46069</v>
      </c>
      <c r="C74" s="1" t="s">
        <v>39</v>
      </c>
      <c r="D74" s="1">
        <v>8</v>
      </c>
      <c r="E74" s="1">
        <v>179.22</v>
      </c>
      <c r="F74" s="1">
        <v>1433.76</v>
      </c>
      <c r="G74" s="1" t="s">
        <v>23</v>
      </c>
      <c r="H74" s="1" t="s">
        <v>29</v>
      </c>
      <c r="I74" s="1" t="b">
        <v>1</v>
      </c>
    </row>
    <row r="75" spans="1:9" x14ac:dyDescent="0.25">
      <c r="A75" s="1" t="s">
        <v>104</v>
      </c>
      <c r="B75" s="2">
        <v>46133</v>
      </c>
      <c r="C75" s="1" t="s">
        <v>33</v>
      </c>
      <c r="D75" s="1">
        <v>7</v>
      </c>
      <c r="E75" s="1">
        <v>162.66</v>
      </c>
      <c r="F75" s="1">
        <v>1138.6199999999999</v>
      </c>
      <c r="G75" s="1" t="s">
        <v>10</v>
      </c>
      <c r="H75" s="1" t="s">
        <v>40</v>
      </c>
      <c r="I75" s="1" t="b">
        <v>1</v>
      </c>
    </row>
    <row r="76" spans="1:9" x14ac:dyDescent="0.25">
      <c r="A76" s="1" t="s">
        <v>105</v>
      </c>
      <c r="B76" s="2">
        <v>46144</v>
      </c>
      <c r="C76" s="1" t="s">
        <v>35</v>
      </c>
      <c r="D76" s="1">
        <v>5</v>
      </c>
      <c r="E76" s="1">
        <v>207.98</v>
      </c>
      <c r="F76" s="1">
        <v>1039.9000000000001</v>
      </c>
      <c r="G76" s="1" t="s">
        <v>26</v>
      </c>
      <c r="H76" s="1" t="s">
        <v>11</v>
      </c>
      <c r="I76" s="1" t="b">
        <v>1</v>
      </c>
    </row>
    <row r="77" spans="1:9" x14ac:dyDescent="0.25">
      <c r="A77" s="1" t="s">
        <v>106</v>
      </c>
      <c r="B77" s="2">
        <v>46160</v>
      </c>
      <c r="C77" s="1" t="s">
        <v>64</v>
      </c>
      <c r="D77" s="1">
        <v>7</v>
      </c>
      <c r="E77" s="1">
        <v>123.91</v>
      </c>
      <c r="F77" s="1">
        <v>867.37</v>
      </c>
      <c r="G77" s="1" t="s">
        <v>10</v>
      </c>
      <c r="H77" s="1" t="s">
        <v>11</v>
      </c>
      <c r="I77" s="1" t="b">
        <v>1</v>
      </c>
    </row>
    <row r="78" spans="1:9" x14ac:dyDescent="0.25">
      <c r="A78" s="1" t="s">
        <v>107</v>
      </c>
      <c r="B78" s="2">
        <v>46158</v>
      </c>
      <c r="C78" s="1" t="s">
        <v>19</v>
      </c>
      <c r="D78" s="1">
        <v>4</v>
      </c>
      <c r="E78" s="1">
        <v>134.83000000000001</v>
      </c>
      <c r="F78" s="1">
        <v>539.32000000000005</v>
      </c>
      <c r="G78" s="1" t="s">
        <v>23</v>
      </c>
      <c r="H78" s="1" t="s">
        <v>29</v>
      </c>
      <c r="I78" s="1" t="b">
        <v>1</v>
      </c>
    </row>
    <row r="79" spans="1:9" x14ac:dyDescent="0.25">
      <c r="A79" s="1" t="s">
        <v>108</v>
      </c>
      <c r="B79" s="2">
        <v>46163</v>
      </c>
      <c r="C79" s="1" t="s">
        <v>31</v>
      </c>
      <c r="D79" s="1">
        <v>6</v>
      </c>
      <c r="E79" s="1">
        <v>80.19</v>
      </c>
      <c r="F79" s="1">
        <v>481.14</v>
      </c>
      <c r="G79" s="1" t="s">
        <v>10</v>
      </c>
      <c r="H79" s="1" t="s">
        <v>21</v>
      </c>
      <c r="I79" s="1" t="b">
        <v>1</v>
      </c>
    </row>
    <row r="80" spans="1:9" x14ac:dyDescent="0.25">
      <c r="A80" s="1" t="s">
        <v>109</v>
      </c>
      <c r="B80" s="2">
        <v>46116</v>
      </c>
      <c r="C80" s="1" t="s">
        <v>16</v>
      </c>
      <c r="D80" s="1">
        <v>6</v>
      </c>
      <c r="E80" s="1">
        <v>45.83</v>
      </c>
      <c r="F80" s="1">
        <v>274.98</v>
      </c>
      <c r="G80" s="1" t="s">
        <v>10</v>
      </c>
      <c r="H80" s="1" t="s">
        <v>21</v>
      </c>
      <c r="I80" s="1" t="b">
        <v>1</v>
      </c>
    </row>
    <row r="81" spans="1:9" x14ac:dyDescent="0.25">
      <c r="A81" s="1" t="s">
        <v>110</v>
      </c>
      <c r="B81" s="2">
        <v>46093</v>
      </c>
      <c r="C81" s="1" t="s">
        <v>28</v>
      </c>
      <c r="D81" s="1">
        <v>7</v>
      </c>
      <c r="E81" s="1">
        <v>97.22</v>
      </c>
      <c r="F81" s="1">
        <v>680.54</v>
      </c>
      <c r="G81" s="1" t="s">
        <v>26</v>
      </c>
      <c r="H81" s="1" t="s">
        <v>40</v>
      </c>
      <c r="I81" s="1" t="b">
        <v>1</v>
      </c>
    </row>
    <row r="82" spans="1:9" x14ac:dyDescent="0.25">
      <c r="A82" s="1" t="s">
        <v>111</v>
      </c>
      <c r="B82" s="2">
        <v>46100</v>
      </c>
      <c r="C82" s="1" t="s">
        <v>35</v>
      </c>
      <c r="D82" s="1">
        <v>7</v>
      </c>
      <c r="E82" s="1">
        <v>145.34</v>
      </c>
      <c r="F82" s="1">
        <v>1017.38</v>
      </c>
      <c r="G82" s="1" t="s">
        <v>14</v>
      </c>
      <c r="H82" s="1" t="s">
        <v>40</v>
      </c>
      <c r="I82" s="1" t="b">
        <v>1</v>
      </c>
    </row>
    <row r="83" spans="1:9" x14ac:dyDescent="0.25">
      <c r="A83" s="1" t="s">
        <v>112</v>
      </c>
      <c r="B83" s="2">
        <v>46045</v>
      </c>
      <c r="C83" s="1" t="s">
        <v>13</v>
      </c>
      <c r="D83" s="1">
        <v>1</v>
      </c>
      <c r="E83" s="1">
        <v>78.430000000000007</v>
      </c>
      <c r="F83" s="1">
        <v>78.430000000000007</v>
      </c>
      <c r="G83" s="1" t="s">
        <v>20</v>
      </c>
      <c r="H83" s="1" t="s">
        <v>17</v>
      </c>
      <c r="I83" s="1" t="b">
        <v>1</v>
      </c>
    </row>
    <row r="84" spans="1:9" x14ac:dyDescent="0.25">
      <c r="A84" s="1" t="s">
        <v>113</v>
      </c>
      <c r="B84" s="2">
        <v>46075</v>
      </c>
      <c r="C84" s="1" t="s">
        <v>35</v>
      </c>
      <c r="D84" s="1">
        <v>4</v>
      </c>
      <c r="E84" s="1">
        <v>24.31</v>
      </c>
      <c r="F84" s="1">
        <v>97.24</v>
      </c>
      <c r="G84" s="1" t="s">
        <v>14</v>
      </c>
      <c r="H84" s="1" t="s">
        <v>36</v>
      </c>
      <c r="I84" s="1" t="b">
        <v>1</v>
      </c>
    </row>
    <row r="85" spans="1:9" x14ac:dyDescent="0.25">
      <c r="A85" s="1" t="s">
        <v>114</v>
      </c>
      <c r="B85" s="2">
        <v>46173</v>
      </c>
      <c r="C85" s="1" t="s">
        <v>25</v>
      </c>
      <c r="D85" s="1">
        <v>3</v>
      </c>
      <c r="E85" s="1">
        <v>110.73</v>
      </c>
      <c r="F85" s="1">
        <v>332.19</v>
      </c>
      <c r="G85" s="1" t="s">
        <v>26</v>
      </c>
      <c r="H85" s="1" t="s">
        <v>11</v>
      </c>
      <c r="I85" s="1" t="b">
        <v>1</v>
      </c>
    </row>
    <row r="86" spans="1:9" x14ac:dyDescent="0.25">
      <c r="A86" s="1" t="s">
        <v>115</v>
      </c>
      <c r="B86" s="2">
        <v>46102</v>
      </c>
      <c r="C86" s="1" t="s">
        <v>44</v>
      </c>
      <c r="D86" s="1">
        <v>1</v>
      </c>
      <c r="E86" s="1">
        <v>211.31</v>
      </c>
      <c r="F86" s="1">
        <v>211.31</v>
      </c>
      <c r="G86" s="1" t="s">
        <v>23</v>
      </c>
      <c r="H86" s="1" t="s">
        <v>40</v>
      </c>
      <c r="I86" s="1" t="b">
        <v>1</v>
      </c>
    </row>
    <row r="87" spans="1:9" x14ac:dyDescent="0.25">
      <c r="A87" s="1" t="s">
        <v>116</v>
      </c>
      <c r="B87" s="2">
        <v>46025</v>
      </c>
      <c r="C87" s="1" t="s">
        <v>19</v>
      </c>
      <c r="D87" s="1">
        <v>6</v>
      </c>
      <c r="E87" s="1">
        <v>129.28</v>
      </c>
      <c r="F87" s="1">
        <v>775.68</v>
      </c>
      <c r="G87" s="1" t="s">
        <v>14</v>
      </c>
      <c r="H87" s="1" t="s">
        <v>17</v>
      </c>
      <c r="I87" s="1" t="b">
        <v>1</v>
      </c>
    </row>
    <row r="88" spans="1:9" x14ac:dyDescent="0.25">
      <c r="A88" s="1" t="s">
        <v>117</v>
      </c>
      <c r="B88" s="2">
        <v>46154</v>
      </c>
      <c r="C88" s="1" t="s">
        <v>19</v>
      </c>
      <c r="D88" s="1">
        <v>6</v>
      </c>
      <c r="E88" s="1">
        <v>119.41</v>
      </c>
      <c r="F88" s="1">
        <v>716.46</v>
      </c>
      <c r="G88" s="1" t="s">
        <v>20</v>
      </c>
      <c r="H88" s="1" t="s">
        <v>40</v>
      </c>
      <c r="I88" s="1" t="b">
        <v>1</v>
      </c>
    </row>
    <row r="89" spans="1:9" x14ac:dyDescent="0.25">
      <c r="A89" s="1" t="s">
        <v>119</v>
      </c>
      <c r="B89" s="2">
        <v>46088</v>
      </c>
      <c r="C89" s="1" t="s">
        <v>28</v>
      </c>
      <c r="D89" s="1">
        <v>5</v>
      </c>
      <c r="E89" s="1">
        <v>247.06</v>
      </c>
      <c r="F89" s="1">
        <v>1235.3</v>
      </c>
      <c r="G89" s="1" t="s">
        <v>23</v>
      </c>
      <c r="H89" s="1" t="s">
        <v>29</v>
      </c>
      <c r="I89" s="1" t="b">
        <v>1</v>
      </c>
    </row>
    <row r="90" spans="1:9" x14ac:dyDescent="0.25">
      <c r="A90" s="1" t="s">
        <v>120</v>
      </c>
      <c r="B90" s="2">
        <v>46199</v>
      </c>
      <c r="C90" s="1" t="s">
        <v>44</v>
      </c>
      <c r="D90" s="1">
        <v>8</v>
      </c>
      <c r="E90" s="1">
        <v>70.14</v>
      </c>
      <c r="F90" s="1">
        <v>561.12</v>
      </c>
      <c r="G90" s="1" t="s">
        <v>14</v>
      </c>
      <c r="H90" s="1" t="s">
        <v>17</v>
      </c>
      <c r="I90" s="1" t="b">
        <v>1</v>
      </c>
    </row>
    <row r="91" spans="1:9" x14ac:dyDescent="0.25">
      <c r="A91" s="1" t="s">
        <v>121</v>
      </c>
      <c r="B91" s="2">
        <v>46058</v>
      </c>
      <c r="C91" s="1" t="s">
        <v>33</v>
      </c>
      <c r="D91" s="1">
        <v>8</v>
      </c>
      <c r="E91" s="1">
        <v>190.32</v>
      </c>
      <c r="F91" s="1">
        <v>1522.56</v>
      </c>
      <c r="G91" s="1" t="s">
        <v>26</v>
      </c>
      <c r="H91" s="1" t="s">
        <v>29</v>
      </c>
      <c r="I91" s="1" t="b">
        <v>1</v>
      </c>
    </row>
    <row r="92" spans="1:9" x14ac:dyDescent="0.25">
      <c r="A92" s="1" t="s">
        <v>122</v>
      </c>
      <c r="B92" s="2">
        <v>46138</v>
      </c>
      <c r="C92" s="1" t="s">
        <v>33</v>
      </c>
      <c r="D92" s="1">
        <v>2</v>
      </c>
      <c r="E92" s="1">
        <v>47.23</v>
      </c>
      <c r="F92" s="1">
        <v>94.46</v>
      </c>
      <c r="G92" s="1" t="s">
        <v>23</v>
      </c>
      <c r="H92" s="1" t="s">
        <v>11</v>
      </c>
      <c r="I92" s="1" t="b">
        <v>1</v>
      </c>
    </row>
    <row r="93" spans="1:9" x14ac:dyDescent="0.25">
      <c r="A93" s="1" t="s">
        <v>124</v>
      </c>
      <c r="B93" s="2">
        <v>46142</v>
      </c>
      <c r="C93" s="1" t="s">
        <v>39</v>
      </c>
      <c r="D93" s="1">
        <v>2</v>
      </c>
      <c r="E93" s="1">
        <v>129.16</v>
      </c>
      <c r="F93" s="1">
        <v>258.32</v>
      </c>
      <c r="G93" s="1" t="s">
        <v>20</v>
      </c>
      <c r="H93" s="1" t="s">
        <v>11</v>
      </c>
      <c r="I93" s="1" t="b">
        <v>1</v>
      </c>
    </row>
    <row r="94" spans="1:9" x14ac:dyDescent="0.25">
      <c r="A94" s="1" t="s">
        <v>125</v>
      </c>
      <c r="B94" s="2">
        <v>46105</v>
      </c>
      <c r="C94" s="1" t="s">
        <v>39</v>
      </c>
      <c r="D94" s="1">
        <v>4</v>
      </c>
      <c r="E94" s="1">
        <v>204.21</v>
      </c>
      <c r="F94" s="1">
        <v>816.84</v>
      </c>
      <c r="G94" s="1" t="s">
        <v>10</v>
      </c>
      <c r="H94" s="1" t="s">
        <v>36</v>
      </c>
      <c r="I94" s="1" t="b">
        <v>1</v>
      </c>
    </row>
    <row r="95" spans="1:9" x14ac:dyDescent="0.25">
      <c r="A95" s="1" t="s">
        <v>126</v>
      </c>
      <c r="B95" s="2">
        <v>46096</v>
      </c>
      <c r="C95" s="1" t="s">
        <v>31</v>
      </c>
      <c r="D95" s="1">
        <v>7</v>
      </c>
      <c r="E95" s="1">
        <v>101.14</v>
      </c>
      <c r="F95" s="1">
        <v>707.98</v>
      </c>
      <c r="G95" s="1" t="s">
        <v>23</v>
      </c>
      <c r="H95" s="1" t="s">
        <v>17</v>
      </c>
      <c r="I95" s="1" t="b">
        <v>1</v>
      </c>
    </row>
    <row r="96" spans="1:9" x14ac:dyDescent="0.25">
      <c r="A96" s="1" t="s">
        <v>127</v>
      </c>
      <c r="B96" s="2">
        <v>46185</v>
      </c>
      <c r="C96" s="1" t="s">
        <v>19</v>
      </c>
      <c r="D96" s="1">
        <v>4</v>
      </c>
      <c r="E96" s="1">
        <v>87.02</v>
      </c>
      <c r="F96" s="1">
        <v>348.08</v>
      </c>
      <c r="G96" s="1" t="s">
        <v>26</v>
      </c>
      <c r="H96" s="1" t="s">
        <v>29</v>
      </c>
      <c r="I96" s="1" t="b">
        <v>1</v>
      </c>
    </row>
    <row r="97" spans="1:9" x14ac:dyDescent="0.25">
      <c r="A97" s="1" t="s">
        <v>128</v>
      </c>
      <c r="B97" s="2">
        <v>46036</v>
      </c>
      <c r="C97" s="1" t="s">
        <v>13</v>
      </c>
      <c r="D97" s="1">
        <v>3</v>
      </c>
      <c r="E97" s="1">
        <v>95.05</v>
      </c>
      <c r="F97" s="1">
        <v>285.14999999999998</v>
      </c>
      <c r="G97" s="1" t="s">
        <v>10</v>
      </c>
      <c r="H97" s="1" t="s">
        <v>21</v>
      </c>
      <c r="I97" s="1" t="b">
        <v>1</v>
      </c>
    </row>
    <row r="98" spans="1:9" x14ac:dyDescent="0.25">
      <c r="A98" s="1" t="s">
        <v>129</v>
      </c>
      <c r="B98" s="2">
        <v>46028</v>
      </c>
      <c r="C98" s="1" t="s">
        <v>19</v>
      </c>
      <c r="D98" s="1">
        <v>2</v>
      </c>
      <c r="E98" s="1">
        <v>157.18</v>
      </c>
      <c r="F98" s="1">
        <v>314.36</v>
      </c>
      <c r="G98" s="1" t="s">
        <v>20</v>
      </c>
      <c r="H98" s="1" t="s">
        <v>11</v>
      </c>
      <c r="I98" s="1" t="b">
        <v>1</v>
      </c>
    </row>
    <row r="99" spans="1:9" x14ac:dyDescent="0.25">
      <c r="A99" s="1" t="s">
        <v>130</v>
      </c>
      <c r="B99" s="2">
        <v>46184</v>
      </c>
      <c r="C99" s="1" t="s">
        <v>9</v>
      </c>
      <c r="D99" s="1">
        <v>7</v>
      </c>
      <c r="E99" s="1">
        <v>200.15</v>
      </c>
      <c r="F99" s="1">
        <v>1401.05</v>
      </c>
      <c r="G99" s="1" t="s">
        <v>14</v>
      </c>
      <c r="H99" s="1" t="s">
        <v>21</v>
      </c>
      <c r="I99" s="1" t="b">
        <v>1</v>
      </c>
    </row>
    <row r="100" spans="1:9" x14ac:dyDescent="0.25">
      <c r="A100" s="1" t="s">
        <v>131</v>
      </c>
      <c r="B100" s="2">
        <v>46121</v>
      </c>
      <c r="C100" s="1" t="s">
        <v>44</v>
      </c>
      <c r="D100" s="1">
        <v>8</v>
      </c>
      <c r="E100" s="1">
        <v>211.02</v>
      </c>
      <c r="F100" s="1">
        <v>1688.16</v>
      </c>
      <c r="G100" s="1" t="s">
        <v>14</v>
      </c>
      <c r="H100" s="1" t="s">
        <v>36</v>
      </c>
      <c r="I100" s="1" t="b">
        <v>1</v>
      </c>
    </row>
    <row r="101" spans="1:9" x14ac:dyDescent="0.25">
      <c r="A101" s="1" t="s">
        <v>132</v>
      </c>
      <c r="B101" s="2">
        <v>46170</v>
      </c>
      <c r="C101" s="1" t="s">
        <v>25</v>
      </c>
      <c r="D101" s="1">
        <v>6</v>
      </c>
      <c r="E101" s="1">
        <v>95.39</v>
      </c>
      <c r="F101" s="1">
        <v>572.34</v>
      </c>
      <c r="G101" s="1" t="s">
        <v>10</v>
      </c>
      <c r="H101" s="1" t="s">
        <v>21</v>
      </c>
      <c r="I101" s="1" t="b">
        <v>1</v>
      </c>
    </row>
    <row r="102" spans="1:9" x14ac:dyDescent="0.25">
      <c r="A102" s="1" t="s">
        <v>133</v>
      </c>
      <c r="B102" s="2">
        <v>46120</v>
      </c>
      <c r="C102" s="1" t="s">
        <v>64</v>
      </c>
      <c r="D102" s="1">
        <v>3</v>
      </c>
      <c r="E102" s="1">
        <v>174.42</v>
      </c>
      <c r="F102" s="1">
        <v>523.26</v>
      </c>
      <c r="G102" s="1" t="s">
        <v>20</v>
      </c>
      <c r="H102" s="1" t="s">
        <v>36</v>
      </c>
      <c r="I102" s="1" t="b">
        <v>1</v>
      </c>
    </row>
    <row r="103" spans="1:9" x14ac:dyDescent="0.25">
      <c r="A103" s="1" t="s">
        <v>134</v>
      </c>
      <c r="B103" s="2">
        <v>46151</v>
      </c>
      <c r="C103" s="1" t="s">
        <v>28</v>
      </c>
      <c r="D103" s="1">
        <v>3</v>
      </c>
      <c r="E103" s="1">
        <v>20.420000000000002</v>
      </c>
      <c r="F103" s="1">
        <v>61.26</v>
      </c>
      <c r="G103" s="1" t="s">
        <v>10</v>
      </c>
      <c r="H103" s="1" t="s">
        <v>36</v>
      </c>
      <c r="I103" s="1" t="b">
        <v>1</v>
      </c>
    </row>
    <row r="104" spans="1:9" x14ac:dyDescent="0.25">
      <c r="A104" s="1" t="s">
        <v>135</v>
      </c>
      <c r="B104" s="2">
        <v>46114</v>
      </c>
      <c r="C104" s="1" t="s">
        <v>31</v>
      </c>
      <c r="D104" s="1">
        <v>2</v>
      </c>
      <c r="E104" s="1">
        <v>147.5</v>
      </c>
      <c r="F104" s="1">
        <v>295</v>
      </c>
      <c r="G104" s="1" t="s">
        <v>10</v>
      </c>
      <c r="H104" s="1" t="s">
        <v>40</v>
      </c>
      <c r="I104" s="1" t="b">
        <v>1</v>
      </c>
    </row>
    <row r="105" spans="1:9" x14ac:dyDescent="0.25">
      <c r="A105" s="1" t="s">
        <v>136</v>
      </c>
      <c r="B105" s="2">
        <v>46070</v>
      </c>
      <c r="C105" s="1" t="s">
        <v>64</v>
      </c>
      <c r="D105" s="1">
        <v>5</v>
      </c>
      <c r="E105" s="1">
        <v>145.81</v>
      </c>
      <c r="F105" s="1">
        <v>729.05</v>
      </c>
      <c r="G105" s="1" t="s">
        <v>10</v>
      </c>
      <c r="H105" s="1" t="s">
        <v>40</v>
      </c>
      <c r="I105" s="1" t="b">
        <v>1</v>
      </c>
    </row>
    <row r="106" spans="1:9" x14ac:dyDescent="0.25">
      <c r="A106" s="1" t="s">
        <v>137</v>
      </c>
      <c r="B106" s="2">
        <v>46058</v>
      </c>
      <c r="C106" s="1" t="s">
        <v>33</v>
      </c>
      <c r="D106" s="1">
        <v>8</v>
      </c>
      <c r="E106" s="1">
        <v>199.7</v>
      </c>
      <c r="F106" s="1">
        <v>1597.6</v>
      </c>
      <c r="G106" s="1" t="s">
        <v>14</v>
      </c>
      <c r="H106" s="1" t="s">
        <v>17</v>
      </c>
      <c r="I106" s="1" t="b">
        <v>1</v>
      </c>
    </row>
    <row r="107" spans="1:9" x14ac:dyDescent="0.25">
      <c r="A107" s="1" t="s">
        <v>138</v>
      </c>
      <c r="B107" s="2">
        <v>46197</v>
      </c>
      <c r="C107" s="1" t="s">
        <v>9</v>
      </c>
      <c r="D107" s="1">
        <v>1</v>
      </c>
      <c r="E107" s="1">
        <v>136.09</v>
      </c>
      <c r="F107" s="1">
        <v>136.09</v>
      </c>
      <c r="G107" s="1" t="s">
        <v>10</v>
      </c>
      <c r="H107" s="1" t="s">
        <v>17</v>
      </c>
      <c r="I107" s="1" t="b">
        <v>1</v>
      </c>
    </row>
    <row r="108" spans="1:9" x14ac:dyDescent="0.25">
      <c r="A108" s="1" t="s">
        <v>139</v>
      </c>
      <c r="B108" s="2">
        <v>46198</v>
      </c>
      <c r="C108" s="1" t="s">
        <v>33</v>
      </c>
      <c r="D108" s="1">
        <v>5</v>
      </c>
      <c r="E108" s="1">
        <v>199.37</v>
      </c>
      <c r="F108" s="1">
        <v>996.85</v>
      </c>
      <c r="G108" s="1" t="s">
        <v>26</v>
      </c>
      <c r="H108" s="1" t="s">
        <v>17</v>
      </c>
      <c r="I108" s="1" t="b">
        <v>1</v>
      </c>
    </row>
    <row r="109" spans="1:9" x14ac:dyDescent="0.25">
      <c r="A109" s="1" t="s">
        <v>140</v>
      </c>
      <c r="B109" s="2">
        <v>46112</v>
      </c>
      <c r="C109" s="1" t="s">
        <v>35</v>
      </c>
      <c r="D109" s="1">
        <v>5</v>
      </c>
      <c r="E109" s="1">
        <v>21.33</v>
      </c>
      <c r="F109" s="1">
        <v>106.65</v>
      </c>
      <c r="G109" s="1" t="s">
        <v>26</v>
      </c>
      <c r="H109" s="1" t="s">
        <v>11</v>
      </c>
      <c r="I109" s="1" t="b">
        <v>1</v>
      </c>
    </row>
    <row r="110" spans="1:9" x14ac:dyDescent="0.25">
      <c r="A110" s="1" t="s">
        <v>141</v>
      </c>
      <c r="B110" s="2">
        <v>46123</v>
      </c>
      <c r="C110" s="1" t="s">
        <v>9</v>
      </c>
      <c r="D110" s="1">
        <v>5</v>
      </c>
      <c r="E110" s="1">
        <v>92.38</v>
      </c>
      <c r="F110" s="1">
        <v>461.9</v>
      </c>
      <c r="G110" s="1" t="s">
        <v>14</v>
      </c>
      <c r="H110" s="1" t="s">
        <v>36</v>
      </c>
      <c r="I110" s="1" t="b">
        <v>1</v>
      </c>
    </row>
    <row r="111" spans="1:9" x14ac:dyDescent="0.25">
      <c r="A111" s="1" t="s">
        <v>142</v>
      </c>
      <c r="B111" s="2">
        <v>46066</v>
      </c>
      <c r="C111" s="1" t="s">
        <v>9</v>
      </c>
      <c r="D111" s="1">
        <v>2</v>
      </c>
      <c r="E111" s="1">
        <v>82.19</v>
      </c>
      <c r="F111" s="1">
        <v>164.38</v>
      </c>
      <c r="G111" s="1" t="s">
        <v>10</v>
      </c>
      <c r="H111" s="1" t="s">
        <v>40</v>
      </c>
      <c r="I111" s="1" t="b">
        <v>1</v>
      </c>
    </row>
    <row r="112" spans="1:9" x14ac:dyDescent="0.25">
      <c r="A112" s="1" t="s">
        <v>143</v>
      </c>
      <c r="B112" s="2">
        <v>46200</v>
      </c>
      <c r="C112" s="1" t="s">
        <v>19</v>
      </c>
      <c r="D112" s="1">
        <v>5</v>
      </c>
      <c r="E112" s="1">
        <v>164.71</v>
      </c>
      <c r="F112" s="1">
        <v>823.55</v>
      </c>
      <c r="G112" s="1" t="s">
        <v>14</v>
      </c>
      <c r="H112" s="1" t="s">
        <v>40</v>
      </c>
      <c r="I112" s="1" t="b">
        <v>1</v>
      </c>
    </row>
    <row r="113" spans="1:9" x14ac:dyDescent="0.25">
      <c r="A113" s="1" t="s">
        <v>144</v>
      </c>
      <c r="B113" s="2">
        <v>46066</v>
      </c>
      <c r="C113" s="1" t="s">
        <v>19</v>
      </c>
      <c r="D113" s="1">
        <v>3</v>
      </c>
      <c r="E113" s="1">
        <v>16.97</v>
      </c>
      <c r="F113" s="1">
        <v>50.91</v>
      </c>
      <c r="G113" s="1" t="s">
        <v>23</v>
      </c>
      <c r="H113" s="1" t="s">
        <v>11</v>
      </c>
      <c r="I113" s="1" t="b">
        <v>1</v>
      </c>
    </row>
    <row r="114" spans="1:9" x14ac:dyDescent="0.25">
      <c r="A114" s="1" t="s">
        <v>145</v>
      </c>
      <c r="B114" s="2">
        <v>46110</v>
      </c>
      <c r="C114" s="1" t="s">
        <v>28</v>
      </c>
      <c r="D114" s="1">
        <v>5</v>
      </c>
      <c r="E114" s="1">
        <v>116.14</v>
      </c>
      <c r="F114" s="1">
        <v>580.70000000000005</v>
      </c>
      <c r="G114" s="1" t="s">
        <v>23</v>
      </c>
      <c r="H114" s="1" t="s">
        <v>29</v>
      </c>
      <c r="I114" s="1" t="b">
        <v>1</v>
      </c>
    </row>
    <row r="115" spans="1:9" x14ac:dyDescent="0.25">
      <c r="A115" s="1" t="s">
        <v>146</v>
      </c>
      <c r="B115" s="2">
        <v>46070</v>
      </c>
      <c r="C115" s="1" t="s">
        <v>39</v>
      </c>
      <c r="D115" s="1">
        <v>8</v>
      </c>
      <c r="E115" s="1">
        <v>101.26</v>
      </c>
      <c r="F115" s="1">
        <v>810.08</v>
      </c>
      <c r="G115" s="1" t="s">
        <v>26</v>
      </c>
      <c r="H115" s="1" t="s">
        <v>36</v>
      </c>
      <c r="I115" s="1" t="b">
        <v>1</v>
      </c>
    </row>
    <row r="116" spans="1:9" x14ac:dyDescent="0.25">
      <c r="A116" s="1" t="s">
        <v>147</v>
      </c>
      <c r="B116" s="2">
        <v>46106</v>
      </c>
      <c r="C116" s="1" t="s">
        <v>28</v>
      </c>
      <c r="D116" s="1">
        <v>3</v>
      </c>
      <c r="E116" s="1">
        <v>106.98</v>
      </c>
      <c r="F116" s="1">
        <v>320.94</v>
      </c>
      <c r="G116" s="1" t="s">
        <v>10</v>
      </c>
      <c r="H116" s="1" t="s">
        <v>11</v>
      </c>
      <c r="I116" s="1" t="b">
        <v>1</v>
      </c>
    </row>
    <row r="117" spans="1:9" x14ac:dyDescent="0.25">
      <c r="A117" s="1" t="s">
        <v>148</v>
      </c>
      <c r="B117" s="2">
        <v>46180</v>
      </c>
      <c r="C117" s="1" t="s">
        <v>25</v>
      </c>
      <c r="D117" s="1">
        <v>6</v>
      </c>
      <c r="E117" s="1">
        <v>217.82</v>
      </c>
      <c r="F117" s="1">
        <v>1306.92</v>
      </c>
      <c r="G117" s="1" t="s">
        <v>10</v>
      </c>
      <c r="H117" s="1" t="s">
        <v>40</v>
      </c>
      <c r="I117" s="1" t="b">
        <v>1</v>
      </c>
    </row>
    <row r="118" spans="1:9" x14ac:dyDescent="0.25">
      <c r="A118" s="1" t="s">
        <v>149</v>
      </c>
      <c r="B118" s="2">
        <v>46115</v>
      </c>
      <c r="C118" s="1" t="s">
        <v>13</v>
      </c>
      <c r="D118" s="1">
        <v>4</v>
      </c>
      <c r="E118" s="1">
        <v>82.75</v>
      </c>
      <c r="F118" s="1">
        <v>331</v>
      </c>
      <c r="G118" s="1" t="s">
        <v>26</v>
      </c>
      <c r="H118" s="1" t="s">
        <v>21</v>
      </c>
      <c r="I118" s="1" t="b">
        <v>1</v>
      </c>
    </row>
    <row r="119" spans="1:9" x14ac:dyDescent="0.25">
      <c r="A119" s="1" t="s">
        <v>150</v>
      </c>
      <c r="B119" s="2">
        <v>46201</v>
      </c>
      <c r="C119" s="1" t="s">
        <v>16</v>
      </c>
      <c r="D119" s="1">
        <v>2</v>
      </c>
      <c r="E119" s="1">
        <v>63.53</v>
      </c>
      <c r="F119" s="1">
        <v>127.06</v>
      </c>
      <c r="G119" s="1" t="s">
        <v>10</v>
      </c>
      <c r="H119" s="1" t="s">
        <v>36</v>
      </c>
      <c r="I119" s="1" t="b">
        <v>1</v>
      </c>
    </row>
    <row r="120" spans="1:9" x14ac:dyDescent="0.25">
      <c r="A120" s="1" t="s">
        <v>151</v>
      </c>
      <c r="B120" s="2">
        <v>46153</v>
      </c>
      <c r="C120" s="1" t="s">
        <v>28</v>
      </c>
      <c r="D120" s="1">
        <v>5</v>
      </c>
      <c r="E120" s="1">
        <v>133.97999999999999</v>
      </c>
      <c r="F120" s="1">
        <v>669.9</v>
      </c>
      <c r="G120" s="1" t="s">
        <v>20</v>
      </c>
      <c r="H120" s="1" t="s">
        <v>17</v>
      </c>
      <c r="I120" s="1" t="b">
        <v>1</v>
      </c>
    </row>
    <row r="121" spans="1:9" x14ac:dyDescent="0.25">
      <c r="A121" s="1" t="s">
        <v>152</v>
      </c>
      <c r="B121" s="2">
        <v>46150</v>
      </c>
      <c r="C121" s="1" t="s">
        <v>44</v>
      </c>
      <c r="D121" s="1">
        <v>2</v>
      </c>
      <c r="E121" s="1">
        <v>40.29</v>
      </c>
      <c r="F121" s="1">
        <v>80.58</v>
      </c>
      <c r="G121" s="1" t="s">
        <v>23</v>
      </c>
      <c r="H121" s="1" t="s">
        <v>40</v>
      </c>
      <c r="I121" s="1" t="b">
        <v>1</v>
      </c>
    </row>
    <row r="122" spans="1:9" x14ac:dyDescent="0.25">
      <c r="A122" s="1" t="s">
        <v>153</v>
      </c>
      <c r="B122" s="2">
        <v>46105</v>
      </c>
      <c r="C122" s="1" t="s">
        <v>35</v>
      </c>
      <c r="D122" s="1">
        <v>5</v>
      </c>
      <c r="E122" s="1">
        <v>67.680000000000007</v>
      </c>
      <c r="F122" s="1">
        <v>338.4</v>
      </c>
      <c r="G122" s="1" t="s">
        <v>23</v>
      </c>
      <c r="H122" s="1" t="s">
        <v>21</v>
      </c>
      <c r="I122" s="1" t="b">
        <v>1</v>
      </c>
    </row>
    <row r="123" spans="1:9" x14ac:dyDescent="0.25">
      <c r="A123" s="1" t="s">
        <v>154</v>
      </c>
      <c r="B123" s="2">
        <v>46046</v>
      </c>
      <c r="C123" s="1" t="s">
        <v>25</v>
      </c>
      <c r="D123" s="1">
        <v>4</v>
      </c>
      <c r="E123" s="1">
        <v>155.01</v>
      </c>
      <c r="F123" s="1">
        <v>620.04</v>
      </c>
      <c r="G123" s="1" t="s">
        <v>23</v>
      </c>
      <c r="H123" s="1" t="s">
        <v>29</v>
      </c>
      <c r="I123" s="1" t="b">
        <v>1</v>
      </c>
    </row>
    <row r="124" spans="1:9" x14ac:dyDescent="0.25">
      <c r="A124" s="1" t="s">
        <v>155</v>
      </c>
      <c r="B124" s="2">
        <v>46181</v>
      </c>
      <c r="C124" s="1" t="s">
        <v>19</v>
      </c>
      <c r="D124" s="1">
        <v>7</v>
      </c>
      <c r="E124" s="1">
        <v>164.92</v>
      </c>
      <c r="F124" s="1">
        <v>1154.44</v>
      </c>
      <c r="G124" s="1" t="s">
        <v>20</v>
      </c>
      <c r="H124" s="1" t="s">
        <v>11</v>
      </c>
      <c r="I124" s="1" t="b">
        <v>1</v>
      </c>
    </row>
    <row r="125" spans="1:9" x14ac:dyDescent="0.25">
      <c r="A125" s="1" t="s">
        <v>156</v>
      </c>
      <c r="B125" s="2">
        <v>46030</v>
      </c>
      <c r="C125" s="1" t="s">
        <v>16</v>
      </c>
      <c r="D125" s="1">
        <v>4</v>
      </c>
      <c r="E125" s="1">
        <v>73.540000000000006</v>
      </c>
      <c r="F125" s="1">
        <v>294.16000000000003</v>
      </c>
      <c r="G125" s="1" t="s">
        <v>26</v>
      </c>
      <c r="H125" s="1" t="s">
        <v>40</v>
      </c>
      <c r="I125" s="1" t="b">
        <v>1</v>
      </c>
    </row>
    <row r="126" spans="1:9" x14ac:dyDescent="0.25">
      <c r="A126" s="1" t="s">
        <v>157</v>
      </c>
      <c r="B126" s="2">
        <v>46061</v>
      </c>
      <c r="C126" s="1" t="s">
        <v>33</v>
      </c>
      <c r="D126" s="1">
        <v>6</v>
      </c>
      <c r="E126" s="1">
        <v>64.569999999999993</v>
      </c>
      <c r="F126" s="1">
        <v>387.42</v>
      </c>
      <c r="G126" s="1" t="s">
        <v>26</v>
      </c>
      <c r="H126" s="1" t="s">
        <v>17</v>
      </c>
      <c r="I126" s="1" t="b">
        <v>1</v>
      </c>
    </row>
    <row r="127" spans="1:9" x14ac:dyDescent="0.25">
      <c r="A127" s="1" t="s">
        <v>158</v>
      </c>
      <c r="B127" s="2">
        <v>46078</v>
      </c>
      <c r="C127" s="1" t="s">
        <v>33</v>
      </c>
      <c r="D127" s="1">
        <v>6</v>
      </c>
      <c r="E127" s="1">
        <v>100.31</v>
      </c>
      <c r="F127" s="1">
        <v>601.86</v>
      </c>
      <c r="G127" s="1" t="s">
        <v>23</v>
      </c>
      <c r="H127" s="1" t="s">
        <v>40</v>
      </c>
      <c r="I127" s="1" t="b">
        <v>1</v>
      </c>
    </row>
    <row r="128" spans="1:9" x14ac:dyDescent="0.25">
      <c r="A128" s="1" t="s">
        <v>159</v>
      </c>
      <c r="B128" s="2">
        <v>46036</v>
      </c>
      <c r="C128" s="1" t="s">
        <v>44</v>
      </c>
      <c r="D128" s="1">
        <v>2</v>
      </c>
      <c r="E128" s="1">
        <v>101.62</v>
      </c>
      <c r="F128" s="1">
        <v>203.24</v>
      </c>
      <c r="G128" s="1" t="s">
        <v>20</v>
      </c>
      <c r="H128" s="1" t="s">
        <v>36</v>
      </c>
      <c r="I128" s="1" t="b">
        <v>1</v>
      </c>
    </row>
    <row r="129" spans="1:9" x14ac:dyDescent="0.25">
      <c r="A129" s="1" t="s">
        <v>160</v>
      </c>
      <c r="B129" s="2">
        <v>46046</v>
      </c>
      <c r="C129" s="1" t="s">
        <v>19</v>
      </c>
      <c r="D129" s="1">
        <v>1</v>
      </c>
      <c r="E129" s="1">
        <v>218.28</v>
      </c>
      <c r="F129" s="1">
        <v>218.28</v>
      </c>
      <c r="G129" s="1" t="s">
        <v>20</v>
      </c>
      <c r="H129" s="1" t="s">
        <v>36</v>
      </c>
      <c r="I129" s="1" t="b">
        <v>1</v>
      </c>
    </row>
    <row r="130" spans="1:9" x14ac:dyDescent="0.25">
      <c r="A130" s="1" t="s">
        <v>161</v>
      </c>
      <c r="B130" s="2">
        <v>46144</v>
      </c>
      <c r="C130" s="1" t="s">
        <v>64</v>
      </c>
      <c r="D130" s="1">
        <v>7</v>
      </c>
      <c r="E130" s="1">
        <v>136.88999999999999</v>
      </c>
      <c r="F130" s="1">
        <v>958.23</v>
      </c>
      <c r="G130" s="1" t="s">
        <v>26</v>
      </c>
      <c r="H130" s="1" t="s">
        <v>21</v>
      </c>
      <c r="I130" s="1" t="b">
        <v>1</v>
      </c>
    </row>
    <row r="131" spans="1:9" x14ac:dyDescent="0.25">
      <c r="A131" s="1" t="s">
        <v>162</v>
      </c>
      <c r="B131" s="2">
        <v>46161</v>
      </c>
      <c r="C131" s="1" t="s">
        <v>44</v>
      </c>
      <c r="D131" s="1">
        <v>7</v>
      </c>
      <c r="E131" s="1">
        <v>222.09</v>
      </c>
      <c r="F131" s="1">
        <v>1554.63</v>
      </c>
      <c r="G131" s="1" t="s">
        <v>20</v>
      </c>
      <c r="H131" s="1" t="s">
        <v>36</v>
      </c>
      <c r="I131" s="1" t="b">
        <v>1</v>
      </c>
    </row>
    <row r="132" spans="1:9" x14ac:dyDescent="0.25">
      <c r="A132" s="1" t="s">
        <v>163</v>
      </c>
      <c r="B132" s="2">
        <v>46188</v>
      </c>
      <c r="C132" s="1" t="s">
        <v>9</v>
      </c>
      <c r="D132" s="1">
        <v>8</v>
      </c>
      <c r="E132" s="1">
        <v>216.34</v>
      </c>
      <c r="F132" s="1">
        <v>1730.72</v>
      </c>
      <c r="G132" s="1" t="s">
        <v>14</v>
      </c>
      <c r="H132" s="1" t="s">
        <v>21</v>
      </c>
      <c r="I132" s="1" t="b">
        <v>1</v>
      </c>
    </row>
    <row r="133" spans="1:9" x14ac:dyDescent="0.25">
      <c r="A133" s="1" t="s">
        <v>164</v>
      </c>
      <c r="B133" s="2">
        <v>46155</v>
      </c>
      <c r="C133" s="1" t="s">
        <v>35</v>
      </c>
      <c r="D133" s="1">
        <v>8</v>
      </c>
      <c r="E133" s="1">
        <v>101.86</v>
      </c>
      <c r="F133" s="1">
        <v>814.88</v>
      </c>
      <c r="G133" s="1" t="s">
        <v>23</v>
      </c>
      <c r="H133" s="1" t="s">
        <v>11</v>
      </c>
      <c r="I133" s="1" t="b">
        <v>1</v>
      </c>
    </row>
    <row r="134" spans="1:9" x14ac:dyDescent="0.25">
      <c r="A134" s="1" t="s">
        <v>165</v>
      </c>
      <c r="B134" s="2">
        <v>46061</v>
      </c>
      <c r="C134" s="1" t="s">
        <v>64</v>
      </c>
      <c r="D134" s="1">
        <v>4</v>
      </c>
      <c r="E134" s="1">
        <v>76.08</v>
      </c>
      <c r="F134" s="1">
        <v>304.32</v>
      </c>
      <c r="G134" s="1" t="s">
        <v>20</v>
      </c>
      <c r="H134" s="1" t="s">
        <v>21</v>
      </c>
      <c r="I134" s="1" t="b">
        <v>1</v>
      </c>
    </row>
    <row r="135" spans="1:9" x14ac:dyDescent="0.25">
      <c r="A135" s="1" t="s">
        <v>166</v>
      </c>
      <c r="B135" s="2">
        <v>46157</v>
      </c>
      <c r="C135" s="1" t="s">
        <v>19</v>
      </c>
      <c r="D135" s="1">
        <v>4</v>
      </c>
      <c r="E135" s="1">
        <v>86.42</v>
      </c>
      <c r="F135" s="1">
        <v>345.68</v>
      </c>
      <c r="G135" s="1" t="s">
        <v>10</v>
      </c>
      <c r="H135" s="1" t="s">
        <v>29</v>
      </c>
      <c r="I135" s="1" t="b">
        <v>1</v>
      </c>
    </row>
    <row r="136" spans="1:9" x14ac:dyDescent="0.25">
      <c r="A136" s="1" t="s">
        <v>167</v>
      </c>
      <c r="B136" s="2">
        <v>46160</v>
      </c>
      <c r="C136" s="1" t="s">
        <v>13</v>
      </c>
      <c r="D136" s="1">
        <v>4</v>
      </c>
      <c r="E136" s="1">
        <v>173.35</v>
      </c>
      <c r="F136" s="1">
        <v>693.4</v>
      </c>
      <c r="G136" s="1" t="s">
        <v>14</v>
      </c>
      <c r="H136" s="1" t="s">
        <v>36</v>
      </c>
      <c r="I136" s="1" t="b">
        <v>1</v>
      </c>
    </row>
    <row r="137" spans="1:9" x14ac:dyDescent="0.25">
      <c r="A137" s="1" t="s">
        <v>168</v>
      </c>
      <c r="B137" s="2">
        <v>46197</v>
      </c>
      <c r="C137" s="1" t="s">
        <v>31</v>
      </c>
      <c r="D137" s="1">
        <v>1</v>
      </c>
      <c r="E137" s="1">
        <v>162.11000000000001</v>
      </c>
      <c r="F137" s="1">
        <v>162.11000000000001</v>
      </c>
      <c r="G137" s="1" t="s">
        <v>26</v>
      </c>
      <c r="H137" s="1" t="s">
        <v>17</v>
      </c>
      <c r="I137" s="1" t="b">
        <v>1</v>
      </c>
    </row>
    <row r="138" spans="1:9" x14ac:dyDescent="0.25">
      <c r="A138" s="1" t="s">
        <v>169</v>
      </c>
      <c r="B138" s="2">
        <v>46184</v>
      </c>
      <c r="C138" s="1" t="s">
        <v>35</v>
      </c>
      <c r="D138" s="1">
        <v>5</v>
      </c>
      <c r="E138" s="1">
        <v>153.15</v>
      </c>
      <c r="F138" s="1">
        <v>765.75</v>
      </c>
      <c r="G138" s="1" t="s">
        <v>14</v>
      </c>
      <c r="H138" s="1" t="s">
        <v>36</v>
      </c>
      <c r="I138" s="1" t="b">
        <v>1</v>
      </c>
    </row>
    <row r="139" spans="1:9" x14ac:dyDescent="0.25">
      <c r="A139" s="1" t="s">
        <v>170</v>
      </c>
      <c r="B139" s="2">
        <v>46170</v>
      </c>
      <c r="C139" s="1" t="s">
        <v>39</v>
      </c>
      <c r="D139" s="1">
        <v>2</v>
      </c>
      <c r="E139" s="1">
        <v>155.6</v>
      </c>
      <c r="F139" s="1">
        <v>311.2</v>
      </c>
      <c r="G139" s="1" t="s">
        <v>23</v>
      </c>
      <c r="H139" s="1" t="s">
        <v>11</v>
      </c>
      <c r="I139" s="1" t="b">
        <v>1</v>
      </c>
    </row>
    <row r="140" spans="1:9" x14ac:dyDescent="0.25">
      <c r="A140" s="1" t="s">
        <v>171</v>
      </c>
      <c r="B140" s="2">
        <v>46169</v>
      </c>
      <c r="C140" s="1" t="s">
        <v>16</v>
      </c>
      <c r="D140" s="1">
        <v>6</v>
      </c>
      <c r="E140" s="1">
        <v>16.7</v>
      </c>
      <c r="F140" s="1">
        <v>100.2</v>
      </c>
      <c r="G140" s="1" t="s">
        <v>14</v>
      </c>
      <c r="H140" s="1" t="s">
        <v>11</v>
      </c>
      <c r="I140" s="1" t="b">
        <v>1</v>
      </c>
    </row>
    <row r="141" spans="1:9" x14ac:dyDescent="0.25">
      <c r="A141" s="1" t="s">
        <v>172</v>
      </c>
      <c r="B141" s="2">
        <v>46025</v>
      </c>
      <c r="C141" s="1" t="s">
        <v>35</v>
      </c>
      <c r="D141" s="1">
        <v>6</v>
      </c>
      <c r="E141" s="1">
        <v>19.100000000000001</v>
      </c>
      <c r="F141" s="1">
        <v>114.6</v>
      </c>
      <c r="G141" s="1" t="s">
        <v>10</v>
      </c>
      <c r="H141" s="1" t="s">
        <v>36</v>
      </c>
      <c r="I141" s="1" t="b">
        <v>1</v>
      </c>
    </row>
    <row r="142" spans="1:9" x14ac:dyDescent="0.25">
      <c r="A142" s="1" t="s">
        <v>173</v>
      </c>
      <c r="B142" s="2">
        <v>46105</v>
      </c>
      <c r="C142" s="1" t="s">
        <v>9</v>
      </c>
      <c r="D142" s="1">
        <v>7</v>
      </c>
      <c r="E142" s="1">
        <v>72.069999999999993</v>
      </c>
      <c r="F142" s="1">
        <v>504.49</v>
      </c>
      <c r="G142" s="1" t="s">
        <v>14</v>
      </c>
      <c r="H142" s="1" t="s">
        <v>29</v>
      </c>
      <c r="I142" s="1" t="b">
        <v>1</v>
      </c>
    </row>
    <row r="143" spans="1:9" x14ac:dyDescent="0.25">
      <c r="A143" s="1" t="s">
        <v>174</v>
      </c>
      <c r="B143" s="2">
        <v>46132</v>
      </c>
      <c r="C143" s="1" t="s">
        <v>35</v>
      </c>
      <c r="D143" s="1">
        <v>1</v>
      </c>
      <c r="E143" s="1">
        <v>124.59</v>
      </c>
      <c r="F143" s="1">
        <v>124.59</v>
      </c>
      <c r="G143" s="1" t="s">
        <v>20</v>
      </c>
      <c r="H143" s="1" t="s">
        <v>17</v>
      </c>
      <c r="I143" s="1" t="b">
        <v>1</v>
      </c>
    </row>
    <row r="144" spans="1:9" x14ac:dyDescent="0.25">
      <c r="A144" s="1" t="s">
        <v>175</v>
      </c>
      <c r="B144" s="2">
        <v>46134</v>
      </c>
      <c r="C144" s="1" t="s">
        <v>28</v>
      </c>
      <c r="D144" s="1">
        <v>4</v>
      </c>
      <c r="E144" s="1">
        <v>156.06</v>
      </c>
      <c r="F144" s="1">
        <v>624.24</v>
      </c>
      <c r="G144" s="1" t="s">
        <v>23</v>
      </c>
      <c r="H144" s="1" t="s">
        <v>21</v>
      </c>
      <c r="I144" s="1" t="b">
        <v>1</v>
      </c>
    </row>
    <row r="145" spans="1:9" x14ac:dyDescent="0.25">
      <c r="A145" s="1" t="s">
        <v>176</v>
      </c>
      <c r="B145" s="2">
        <v>46181</v>
      </c>
      <c r="C145" s="1" t="s">
        <v>16</v>
      </c>
      <c r="D145" s="1">
        <v>7</v>
      </c>
      <c r="E145" s="1">
        <v>209.76</v>
      </c>
      <c r="F145" s="1">
        <v>1468.32</v>
      </c>
      <c r="G145" s="1" t="s">
        <v>23</v>
      </c>
      <c r="H145" s="1" t="s">
        <v>17</v>
      </c>
      <c r="I145" s="1" t="b">
        <v>1</v>
      </c>
    </row>
    <row r="146" spans="1:9" x14ac:dyDescent="0.25">
      <c r="A146" s="1" t="s">
        <v>177</v>
      </c>
      <c r="B146" s="2">
        <v>46183</v>
      </c>
      <c r="C146" s="1" t="s">
        <v>19</v>
      </c>
      <c r="D146" s="1">
        <v>4</v>
      </c>
      <c r="E146" s="1">
        <v>156.38</v>
      </c>
      <c r="F146" s="1">
        <v>625.52</v>
      </c>
      <c r="G146" s="1" t="s">
        <v>14</v>
      </c>
      <c r="H146" s="1" t="s">
        <v>40</v>
      </c>
      <c r="I146" s="1" t="b">
        <v>1</v>
      </c>
    </row>
    <row r="147" spans="1:9" x14ac:dyDescent="0.25">
      <c r="A147" s="1" t="s">
        <v>178</v>
      </c>
      <c r="B147" s="2">
        <v>46070</v>
      </c>
      <c r="C147" s="1" t="s">
        <v>35</v>
      </c>
      <c r="D147" s="1">
        <v>1</v>
      </c>
      <c r="E147" s="1">
        <v>160.51</v>
      </c>
      <c r="F147" s="1">
        <v>160.51</v>
      </c>
      <c r="G147" s="1" t="s">
        <v>10</v>
      </c>
      <c r="H147" s="1" t="s">
        <v>11</v>
      </c>
      <c r="I147" s="1" t="b">
        <v>1</v>
      </c>
    </row>
    <row r="148" spans="1:9" x14ac:dyDescent="0.25">
      <c r="A148" s="1" t="s">
        <v>179</v>
      </c>
      <c r="B148" s="2">
        <v>46030</v>
      </c>
      <c r="C148" s="1" t="s">
        <v>19</v>
      </c>
      <c r="D148" s="1">
        <v>5</v>
      </c>
      <c r="E148" s="1">
        <v>97.85</v>
      </c>
      <c r="F148" s="1">
        <v>489.25</v>
      </c>
      <c r="G148" s="1" t="s">
        <v>26</v>
      </c>
      <c r="H148" s="1" t="s">
        <v>11</v>
      </c>
      <c r="I148" s="1" t="b">
        <v>1</v>
      </c>
    </row>
    <row r="149" spans="1:9" x14ac:dyDescent="0.25">
      <c r="A149" s="1" t="s">
        <v>180</v>
      </c>
      <c r="B149" s="2">
        <v>46182</v>
      </c>
      <c r="C149" s="1" t="s">
        <v>31</v>
      </c>
      <c r="D149" s="1">
        <v>7</v>
      </c>
      <c r="E149" s="1">
        <v>154.63</v>
      </c>
      <c r="F149" s="1">
        <v>1082.4100000000001</v>
      </c>
      <c r="G149" s="1" t="s">
        <v>14</v>
      </c>
      <c r="H149" s="1" t="s">
        <v>36</v>
      </c>
      <c r="I149" s="1" t="b">
        <v>1</v>
      </c>
    </row>
    <row r="150" spans="1:9" x14ac:dyDescent="0.25">
      <c r="A150" s="1" t="s">
        <v>181</v>
      </c>
      <c r="B150" s="2">
        <v>46177</v>
      </c>
      <c r="C150" s="1" t="s">
        <v>31</v>
      </c>
      <c r="D150" s="1">
        <v>3</v>
      </c>
      <c r="E150" s="1">
        <v>151.96</v>
      </c>
      <c r="F150" s="1">
        <v>455.88</v>
      </c>
      <c r="G150" s="1" t="s">
        <v>20</v>
      </c>
      <c r="H150" s="1" t="s">
        <v>11</v>
      </c>
      <c r="I150" s="1" t="b">
        <v>1</v>
      </c>
    </row>
    <row r="151" spans="1:9" x14ac:dyDescent="0.25">
      <c r="A151" s="1" t="s">
        <v>182</v>
      </c>
      <c r="B151" s="2">
        <v>46139</v>
      </c>
      <c r="C151" s="1" t="s">
        <v>64</v>
      </c>
      <c r="D151" s="1">
        <v>4</v>
      </c>
      <c r="E151" s="1">
        <v>150.59</v>
      </c>
      <c r="F151" s="1">
        <v>602.36</v>
      </c>
      <c r="G151" s="1" t="s">
        <v>23</v>
      </c>
      <c r="H151" s="1" t="s">
        <v>21</v>
      </c>
      <c r="I151" s="1" t="b">
        <v>1</v>
      </c>
    </row>
    <row r="152" spans="1:9" x14ac:dyDescent="0.25">
      <c r="A152" s="1" t="s">
        <v>183</v>
      </c>
      <c r="B152" s="2">
        <v>46106</v>
      </c>
      <c r="C152" s="1" t="s">
        <v>28</v>
      </c>
      <c r="D152" s="1">
        <v>3</v>
      </c>
      <c r="E152" s="1">
        <v>52.27</v>
      </c>
      <c r="F152" s="1">
        <v>156.81</v>
      </c>
      <c r="G152" s="1" t="s">
        <v>20</v>
      </c>
      <c r="H152" s="1" t="s">
        <v>17</v>
      </c>
      <c r="I152" s="1" t="b">
        <v>1</v>
      </c>
    </row>
    <row r="153" spans="1:9" x14ac:dyDescent="0.25">
      <c r="A153" s="1" t="s">
        <v>184</v>
      </c>
      <c r="B153" s="2">
        <v>46125</v>
      </c>
      <c r="C153" s="1" t="s">
        <v>33</v>
      </c>
      <c r="D153" s="1">
        <v>1</v>
      </c>
      <c r="E153" s="1">
        <v>48.08</v>
      </c>
      <c r="F153" s="1">
        <v>48.08</v>
      </c>
      <c r="G153" s="1" t="s">
        <v>20</v>
      </c>
      <c r="H153" s="1" t="s">
        <v>40</v>
      </c>
      <c r="I153" s="1" t="b">
        <v>1</v>
      </c>
    </row>
    <row r="154" spans="1:9" x14ac:dyDescent="0.25">
      <c r="A154" s="1" t="s">
        <v>185</v>
      </c>
      <c r="B154" s="2">
        <v>46099</v>
      </c>
      <c r="C154" s="1" t="s">
        <v>19</v>
      </c>
      <c r="D154" s="1">
        <v>7</v>
      </c>
      <c r="E154" s="1">
        <v>125.23</v>
      </c>
      <c r="F154" s="1">
        <v>876.61</v>
      </c>
      <c r="G154" s="1" t="s">
        <v>14</v>
      </c>
      <c r="H154" s="1" t="s">
        <v>21</v>
      </c>
      <c r="I154" s="1" t="b">
        <v>1</v>
      </c>
    </row>
    <row r="155" spans="1:9" x14ac:dyDescent="0.25">
      <c r="A155" s="1" t="s">
        <v>186</v>
      </c>
      <c r="B155" s="2">
        <v>46060</v>
      </c>
      <c r="C155" s="1" t="s">
        <v>35</v>
      </c>
      <c r="D155" s="1">
        <v>2</v>
      </c>
      <c r="E155" s="1">
        <v>76.06</v>
      </c>
      <c r="F155" s="1">
        <v>152.12</v>
      </c>
      <c r="G155" s="1" t="s">
        <v>26</v>
      </c>
      <c r="H155" s="1" t="s">
        <v>21</v>
      </c>
      <c r="I155" s="1" t="b">
        <v>1</v>
      </c>
    </row>
    <row r="156" spans="1:9" x14ac:dyDescent="0.25">
      <c r="A156" s="1" t="s">
        <v>187</v>
      </c>
      <c r="B156" s="2">
        <v>46102</v>
      </c>
      <c r="C156" s="1" t="s">
        <v>28</v>
      </c>
      <c r="D156" s="1">
        <v>5</v>
      </c>
      <c r="E156" s="1">
        <v>177.09</v>
      </c>
      <c r="F156" s="1">
        <v>885.45</v>
      </c>
      <c r="G156" s="1" t="s">
        <v>10</v>
      </c>
      <c r="H156" s="1" t="s">
        <v>29</v>
      </c>
      <c r="I156" s="1" t="b">
        <v>1</v>
      </c>
    </row>
    <row r="157" spans="1:9" x14ac:dyDescent="0.25">
      <c r="A157" s="1" t="s">
        <v>188</v>
      </c>
      <c r="B157" s="2">
        <v>46104</v>
      </c>
      <c r="C157" s="1" t="s">
        <v>16</v>
      </c>
      <c r="D157" s="1">
        <v>2</v>
      </c>
      <c r="E157" s="1">
        <v>81.39</v>
      </c>
      <c r="F157" s="1">
        <v>162.78</v>
      </c>
      <c r="G157" s="1" t="s">
        <v>10</v>
      </c>
      <c r="H157" s="1" t="s">
        <v>17</v>
      </c>
      <c r="I157" s="1" t="b">
        <v>1</v>
      </c>
    </row>
    <row r="158" spans="1:9" x14ac:dyDescent="0.25">
      <c r="A158" s="1" t="s">
        <v>189</v>
      </c>
      <c r="B158" s="2">
        <v>46196</v>
      </c>
      <c r="C158" s="1" t="s">
        <v>33</v>
      </c>
      <c r="D158" s="1">
        <v>8</v>
      </c>
      <c r="E158" s="1">
        <v>186.75</v>
      </c>
      <c r="F158" s="1">
        <v>1494</v>
      </c>
      <c r="G158" s="1" t="s">
        <v>26</v>
      </c>
      <c r="H158" s="1" t="s">
        <v>11</v>
      </c>
      <c r="I158" s="1" t="b">
        <v>1</v>
      </c>
    </row>
    <row r="159" spans="1:9" x14ac:dyDescent="0.25">
      <c r="A159" s="1" t="s">
        <v>190</v>
      </c>
      <c r="B159" s="2">
        <v>46046</v>
      </c>
      <c r="C159" s="1" t="s">
        <v>13</v>
      </c>
      <c r="D159" s="1">
        <v>5</v>
      </c>
      <c r="E159" s="1">
        <v>105.75</v>
      </c>
      <c r="F159" s="1">
        <v>528.75</v>
      </c>
      <c r="G159" s="1" t="s">
        <v>14</v>
      </c>
      <c r="H159" s="1" t="s">
        <v>11</v>
      </c>
      <c r="I159" s="1" t="b">
        <v>1</v>
      </c>
    </row>
    <row r="160" spans="1:9" x14ac:dyDescent="0.25">
      <c r="A160" s="1" t="s">
        <v>191</v>
      </c>
      <c r="B160" s="2">
        <v>46093</v>
      </c>
      <c r="C160" s="1" t="s">
        <v>28</v>
      </c>
      <c r="D160" s="1">
        <v>1</v>
      </c>
      <c r="E160" s="1">
        <v>166.85</v>
      </c>
      <c r="F160" s="1">
        <v>166.85</v>
      </c>
      <c r="G160" s="1" t="s">
        <v>20</v>
      </c>
      <c r="H160" s="1" t="s">
        <v>29</v>
      </c>
      <c r="I160" s="1" t="b">
        <v>1</v>
      </c>
    </row>
    <row r="161" spans="1:9" x14ac:dyDescent="0.25">
      <c r="A161" s="1" t="s">
        <v>192</v>
      </c>
      <c r="B161" s="2">
        <v>46045</v>
      </c>
      <c r="C161" s="1" t="s">
        <v>35</v>
      </c>
      <c r="D161" s="1">
        <v>4</v>
      </c>
      <c r="E161" s="1">
        <v>84.28</v>
      </c>
      <c r="F161" s="1">
        <v>337.12</v>
      </c>
      <c r="G161" s="1" t="s">
        <v>26</v>
      </c>
      <c r="H161" s="1" t="s">
        <v>36</v>
      </c>
      <c r="I161" s="1" t="b">
        <v>1</v>
      </c>
    </row>
    <row r="162" spans="1:9" x14ac:dyDescent="0.25">
      <c r="A162" s="1" t="s">
        <v>193</v>
      </c>
      <c r="B162" s="2">
        <v>46144</v>
      </c>
      <c r="C162" s="1" t="s">
        <v>25</v>
      </c>
      <c r="D162" s="1">
        <v>6</v>
      </c>
      <c r="E162" s="1">
        <v>131.34</v>
      </c>
      <c r="F162" s="1">
        <v>788.04</v>
      </c>
      <c r="G162" s="1" t="s">
        <v>14</v>
      </c>
      <c r="H162" s="1" t="s">
        <v>36</v>
      </c>
      <c r="I162" s="1" t="b">
        <v>1</v>
      </c>
    </row>
    <row r="163" spans="1:9" x14ac:dyDescent="0.25">
      <c r="A163" s="1" t="s">
        <v>194</v>
      </c>
      <c r="B163" s="2">
        <v>46194</v>
      </c>
      <c r="C163" s="1" t="s">
        <v>35</v>
      </c>
      <c r="D163" s="1">
        <v>5</v>
      </c>
      <c r="E163" s="1">
        <v>162.13999999999999</v>
      </c>
      <c r="F163" s="1">
        <v>810.7</v>
      </c>
      <c r="G163" s="1" t="s">
        <v>26</v>
      </c>
      <c r="H163" s="1" t="s">
        <v>21</v>
      </c>
      <c r="I163" s="1" t="b">
        <v>1</v>
      </c>
    </row>
    <row r="164" spans="1:9" x14ac:dyDescent="0.25">
      <c r="A164" s="1" t="s">
        <v>195</v>
      </c>
      <c r="B164" s="2">
        <v>46104</v>
      </c>
      <c r="C164" s="1" t="s">
        <v>39</v>
      </c>
      <c r="D164" s="1">
        <v>3</v>
      </c>
      <c r="E164" s="1">
        <v>202.78</v>
      </c>
      <c r="F164" s="1">
        <v>608.34</v>
      </c>
      <c r="G164" s="1" t="s">
        <v>26</v>
      </c>
      <c r="H164" s="1" t="s">
        <v>11</v>
      </c>
      <c r="I164" s="1" t="b">
        <v>1</v>
      </c>
    </row>
    <row r="165" spans="1:9" x14ac:dyDescent="0.25">
      <c r="A165" s="1" t="s">
        <v>196</v>
      </c>
      <c r="B165" s="2">
        <v>46126</v>
      </c>
      <c r="C165" s="1" t="s">
        <v>13</v>
      </c>
      <c r="D165" s="1">
        <v>4</v>
      </c>
      <c r="E165" s="1">
        <v>15.58</v>
      </c>
      <c r="F165" s="1">
        <v>62.32</v>
      </c>
      <c r="G165" s="1" t="s">
        <v>20</v>
      </c>
      <c r="H165" s="1" t="s">
        <v>29</v>
      </c>
      <c r="I165" s="1" t="b">
        <v>1</v>
      </c>
    </row>
    <row r="166" spans="1:9" x14ac:dyDescent="0.25">
      <c r="A166" s="1" t="s">
        <v>197</v>
      </c>
      <c r="B166" s="2">
        <v>46027</v>
      </c>
      <c r="C166" s="1" t="s">
        <v>44</v>
      </c>
      <c r="D166" s="1">
        <v>4</v>
      </c>
      <c r="E166" s="1">
        <v>80.59</v>
      </c>
      <c r="F166" s="1">
        <v>322.36</v>
      </c>
      <c r="G166" s="1" t="s">
        <v>10</v>
      </c>
      <c r="H166" s="1" t="s">
        <v>40</v>
      </c>
      <c r="I166" s="1" t="b">
        <v>1</v>
      </c>
    </row>
    <row r="167" spans="1:9" x14ac:dyDescent="0.25">
      <c r="A167" s="1" t="s">
        <v>198</v>
      </c>
      <c r="B167" s="2">
        <v>46184</v>
      </c>
      <c r="C167" s="1" t="s">
        <v>64</v>
      </c>
      <c r="D167" s="1">
        <v>8</v>
      </c>
      <c r="E167" s="1">
        <v>82.73</v>
      </c>
      <c r="F167" s="1">
        <v>661.84</v>
      </c>
      <c r="G167" s="1" t="s">
        <v>26</v>
      </c>
      <c r="H167" s="1" t="s">
        <v>40</v>
      </c>
      <c r="I167" s="1" t="b">
        <v>1</v>
      </c>
    </row>
    <row r="168" spans="1:9" x14ac:dyDescent="0.25">
      <c r="A168" s="1" t="s">
        <v>199</v>
      </c>
      <c r="B168" s="2">
        <v>46163</v>
      </c>
      <c r="C168" s="1" t="s">
        <v>19</v>
      </c>
      <c r="D168" s="1">
        <v>4</v>
      </c>
      <c r="E168" s="1">
        <v>20.57</v>
      </c>
      <c r="F168" s="1">
        <v>82.28</v>
      </c>
      <c r="G168" s="1" t="s">
        <v>26</v>
      </c>
      <c r="H168" s="1" t="s">
        <v>40</v>
      </c>
      <c r="I168" s="1" t="b">
        <v>1</v>
      </c>
    </row>
    <row r="169" spans="1:9" x14ac:dyDescent="0.25">
      <c r="A169" s="1" t="s">
        <v>200</v>
      </c>
      <c r="B169" s="2">
        <v>46038</v>
      </c>
      <c r="C169" s="1" t="s">
        <v>64</v>
      </c>
      <c r="D169" s="1">
        <v>5</v>
      </c>
      <c r="E169" s="1">
        <v>26.98</v>
      </c>
      <c r="F169" s="1">
        <v>134.9</v>
      </c>
      <c r="G169" s="1" t="s">
        <v>23</v>
      </c>
      <c r="H169" s="1" t="s">
        <v>11</v>
      </c>
      <c r="I169" s="1" t="b">
        <v>1</v>
      </c>
    </row>
    <row r="170" spans="1:9" x14ac:dyDescent="0.25">
      <c r="A170" s="1" t="s">
        <v>201</v>
      </c>
      <c r="B170" s="2">
        <v>46046</v>
      </c>
      <c r="C170" s="1" t="s">
        <v>19</v>
      </c>
      <c r="D170" s="1">
        <v>7</v>
      </c>
      <c r="E170" s="1">
        <v>216.51</v>
      </c>
      <c r="F170" s="1">
        <v>1515.57</v>
      </c>
      <c r="G170" s="1" t="s">
        <v>10</v>
      </c>
      <c r="H170" s="1" t="s">
        <v>29</v>
      </c>
      <c r="I170" s="1" t="b">
        <v>1</v>
      </c>
    </row>
    <row r="171" spans="1:9" x14ac:dyDescent="0.25">
      <c r="A171" s="1" t="s">
        <v>202</v>
      </c>
      <c r="B171" s="2">
        <v>46148</v>
      </c>
      <c r="C171" s="1" t="s">
        <v>16</v>
      </c>
      <c r="D171" s="1">
        <v>6</v>
      </c>
      <c r="E171" s="1">
        <v>119.56</v>
      </c>
      <c r="F171" s="1">
        <v>717.36</v>
      </c>
      <c r="G171" s="1" t="s">
        <v>23</v>
      </c>
      <c r="H171" s="1" t="s">
        <v>17</v>
      </c>
      <c r="I171" s="1" t="b">
        <v>1</v>
      </c>
    </row>
    <row r="172" spans="1:9" x14ac:dyDescent="0.25">
      <c r="A172" s="1" t="s">
        <v>203</v>
      </c>
      <c r="B172" s="2">
        <v>46102</v>
      </c>
      <c r="C172" s="1" t="s">
        <v>33</v>
      </c>
      <c r="D172" s="1">
        <v>6</v>
      </c>
      <c r="E172" s="1">
        <v>67.73</v>
      </c>
      <c r="F172" s="1">
        <v>406.38</v>
      </c>
      <c r="G172" s="1" t="s">
        <v>26</v>
      </c>
      <c r="H172" s="1" t="s">
        <v>40</v>
      </c>
      <c r="I172" s="1" t="b">
        <v>1</v>
      </c>
    </row>
    <row r="173" spans="1:9" x14ac:dyDescent="0.25">
      <c r="A173" s="1" t="s">
        <v>204</v>
      </c>
      <c r="B173" s="2">
        <v>46193</v>
      </c>
      <c r="C173" s="1" t="s">
        <v>31</v>
      </c>
      <c r="D173" s="1">
        <v>3</v>
      </c>
      <c r="E173" s="1">
        <v>88.69</v>
      </c>
      <c r="F173" s="1">
        <v>266.07</v>
      </c>
      <c r="G173" s="1" t="s">
        <v>26</v>
      </c>
      <c r="H173" s="1" t="s">
        <v>36</v>
      </c>
      <c r="I173" s="1" t="b">
        <v>1</v>
      </c>
    </row>
    <row r="174" spans="1:9" x14ac:dyDescent="0.25">
      <c r="A174" s="1" t="s">
        <v>205</v>
      </c>
      <c r="B174" s="2">
        <v>46162</v>
      </c>
      <c r="C174" s="1" t="s">
        <v>31</v>
      </c>
      <c r="D174" s="1">
        <v>7</v>
      </c>
      <c r="E174" s="1">
        <v>17.850000000000001</v>
      </c>
      <c r="F174" s="1">
        <v>124.95</v>
      </c>
      <c r="G174" s="1" t="s">
        <v>26</v>
      </c>
      <c r="H174" s="1" t="s">
        <v>17</v>
      </c>
      <c r="I174" s="1" t="b">
        <v>1</v>
      </c>
    </row>
    <row r="175" spans="1:9" x14ac:dyDescent="0.25">
      <c r="A175" s="1" t="s">
        <v>206</v>
      </c>
      <c r="B175" s="2">
        <v>46149</v>
      </c>
      <c r="C175" s="1" t="s">
        <v>19</v>
      </c>
      <c r="D175" s="1">
        <v>2</v>
      </c>
      <c r="E175" s="1">
        <v>100.99</v>
      </c>
      <c r="F175" s="1">
        <v>201.98</v>
      </c>
      <c r="G175" s="1" t="s">
        <v>26</v>
      </c>
      <c r="H175" s="1" t="s">
        <v>36</v>
      </c>
      <c r="I175" s="1" t="b">
        <v>1</v>
      </c>
    </row>
    <row r="176" spans="1:9" x14ac:dyDescent="0.25">
      <c r="A176" s="1" t="s">
        <v>207</v>
      </c>
      <c r="B176" s="2">
        <v>46187</v>
      </c>
      <c r="C176" s="1" t="s">
        <v>9</v>
      </c>
      <c r="D176" s="1">
        <v>1</v>
      </c>
      <c r="E176" s="1">
        <v>111.2</v>
      </c>
      <c r="F176" s="1">
        <v>111.2</v>
      </c>
      <c r="G176" s="1" t="s">
        <v>23</v>
      </c>
      <c r="H176" s="1" t="s">
        <v>29</v>
      </c>
      <c r="I176" s="1" t="b">
        <v>1</v>
      </c>
    </row>
    <row r="177" spans="1:9" x14ac:dyDescent="0.25">
      <c r="A177" s="1" t="s">
        <v>208</v>
      </c>
      <c r="B177" s="2">
        <v>46084</v>
      </c>
      <c r="C177" s="1" t="s">
        <v>64</v>
      </c>
      <c r="D177" s="1">
        <v>2</v>
      </c>
      <c r="E177" s="1">
        <v>101.15</v>
      </c>
      <c r="F177" s="1">
        <v>202.3</v>
      </c>
      <c r="G177" s="1" t="s">
        <v>14</v>
      </c>
      <c r="H177" s="1" t="s">
        <v>17</v>
      </c>
      <c r="I177" s="1" t="b">
        <v>1</v>
      </c>
    </row>
    <row r="178" spans="1:9" x14ac:dyDescent="0.25">
      <c r="A178" s="1" t="s">
        <v>209</v>
      </c>
      <c r="B178" s="2">
        <v>46182</v>
      </c>
      <c r="C178" s="1" t="s">
        <v>13</v>
      </c>
      <c r="D178" s="1">
        <v>6</v>
      </c>
      <c r="E178" s="1">
        <v>133.08000000000001</v>
      </c>
      <c r="F178" s="1">
        <v>798.48</v>
      </c>
      <c r="G178" s="1" t="s">
        <v>26</v>
      </c>
      <c r="H178" s="1" t="s">
        <v>36</v>
      </c>
      <c r="I178" s="1" t="b">
        <v>1</v>
      </c>
    </row>
    <row r="179" spans="1:9" x14ac:dyDescent="0.25">
      <c r="A179" s="1" t="s">
        <v>210</v>
      </c>
      <c r="B179" s="2">
        <v>46079</v>
      </c>
      <c r="C179" s="1" t="s">
        <v>16</v>
      </c>
      <c r="D179" s="1">
        <v>1</v>
      </c>
      <c r="E179" s="1">
        <v>230.15</v>
      </c>
      <c r="F179" s="1">
        <v>230.15</v>
      </c>
      <c r="G179" s="1" t="s">
        <v>20</v>
      </c>
      <c r="H179" s="1" t="s">
        <v>21</v>
      </c>
      <c r="I179" s="1" t="b">
        <v>1</v>
      </c>
    </row>
    <row r="180" spans="1:9" x14ac:dyDescent="0.25">
      <c r="A180" s="1" t="s">
        <v>211</v>
      </c>
      <c r="B180" s="2">
        <v>46075</v>
      </c>
      <c r="C180" s="1" t="s">
        <v>25</v>
      </c>
      <c r="D180" s="1">
        <v>6</v>
      </c>
      <c r="E180" s="1">
        <v>97.76</v>
      </c>
      <c r="F180" s="1">
        <v>586.55999999999995</v>
      </c>
      <c r="G180" s="1" t="s">
        <v>26</v>
      </c>
      <c r="H180" s="1" t="s">
        <v>21</v>
      </c>
      <c r="I180" s="1" t="b">
        <v>1</v>
      </c>
    </row>
    <row r="181" spans="1:9" x14ac:dyDescent="0.25">
      <c r="A181" s="1" t="s">
        <v>212</v>
      </c>
      <c r="B181" s="2">
        <v>46156</v>
      </c>
      <c r="C181" s="1" t="s">
        <v>16</v>
      </c>
      <c r="D181" s="1">
        <v>3</v>
      </c>
      <c r="E181" s="1">
        <v>71.11</v>
      </c>
      <c r="F181" s="1">
        <v>213.33</v>
      </c>
      <c r="G181" s="1" t="s">
        <v>20</v>
      </c>
      <c r="H181" s="1" t="s">
        <v>11</v>
      </c>
      <c r="I181" s="1" t="b">
        <v>1</v>
      </c>
    </row>
    <row r="182" spans="1:9" x14ac:dyDescent="0.25">
      <c r="A182" s="1" t="s">
        <v>213</v>
      </c>
      <c r="B182" s="2">
        <v>46195</v>
      </c>
      <c r="C182" s="1" t="s">
        <v>33</v>
      </c>
      <c r="D182" s="1">
        <v>3</v>
      </c>
      <c r="E182" s="1">
        <v>65.77</v>
      </c>
      <c r="F182" s="1">
        <v>197.31</v>
      </c>
      <c r="G182" s="1" t="s">
        <v>14</v>
      </c>
      <c r="H182" s="1" t="s">
        <v>36</v>
      </c>
      <c r="I182" s="1" t="b">
        <v>1</v>
      </c>
    </row>
    <row r="183" spans="1:9" x14ac:dyDescent="0.25">
      <c r="A183" s="1" t="s">
        <v>214</v>
      </c>
      <c r="B183" s="2">
        <v>46196</v>
      </c>
      <c r="C183" s="1" t="s">
        <v>33</v>
      </c>
      <c r="D183" s="1">
        <v>1</v>
      </c>
      <c r="E183" s="1">
        <v>31.73</v>
      </c>
      <c r="F183" s="1">
        <v>31.73</v>
      </c>
      <c r="G183" s="1" t="s">
        <v>26</v>
      </c>
      <c r="H183" s="1" t="s">
        <v>21</v>
      </c>
      <c r="I183" s="1" t="b">
        <v>1</v>
      </c>
    </row>
    <row r="184" spans="1:9" x14ac:dyDescent="0.25">
      <c r="A184" s="1" t="s">
        <v>215</v>
      </c>
      <c r="B184" s="2">
        <v>46096</v>
      </c>
      <c r="C184" s="1" t="s">
        <v>25</v>
      </c>
      <c r="D184" s="1">
        <v>8</v>
      </c>
      <c r="E184" s="1">
        <v>99.49</v>
      </c>
      <c r="F184" s="1">
        <v>795.92</v>
      </c>
      <c r="G184" s="1" t="s">
        <v>10</v>
      </c>
      <c r="H184" s="1" t="s">
        <v>11</v>
      </c>
      <c r="I184" s="1" t="b">
        <v>1</v>
      </c>
    </row>
    <row r="185" spans="1:9" x14ac:dyDescent="0.25">
      <c r="A185" s="1" t="s">
        <v>216</v>
      </c>
      <c r="B185" s="2">
        <v>46189</v>
      </c>
      <c r="C185" s="1" t="s">
        <v>44</v>
      </c>
      <c r="D185" s="1">
        <v>2</v>
      </c>
      <c r="E185" s="1">
        <v>221.17</v>
      </c>
      <c r="F185" s="1">
        <v>442.34</v>
      </c>
      <c r="G185" s="1" t="s">
        <v>23</v>
      </c>
      <c r="H185" s="1" t="s">
        <v>29</v>
      </c>
      <c r="I185" s="1" t="b">
        <v>1</v>
      </c>
    </row>
    <row r="186" spans="1:9" x14ac:dyDescent="0.25">
      <c r="A186" s="1" t="s">
        <v>217</v>
      </c>
      <c r="B186" s="2">
        <v>46119</v>
      </c>
      <c r="C186" s="1" t="s">
        <v>64</v>
      </c>
      <c r="D186" s="1">
        <v>2</v>
      </c>
      <c r="E186" s="1">
        <v>67.08</v>
      </c>
      <c r="F186" s="1">
        <v>134.16</v>
      </c>
      <c r="G186" s="1" t="s">
        <v>20</v>
      </c>
      <c r="H186" s="1" t="s">
        <v>11</v>
      </c>
      <c r="I186" s="1" t="b">
        <v>1</v>
      </c>
    </row>
    <row r="187" spans="1:9" x14ac:dyDescent="0.25">
      <c r="A187" s="1" t="s">
        <v>218</v>
      </c>
      <c r="B187" s="2">
        <v>46057</v>
      </c>
      <c r="C187" s="1" t="s">
        <v>35</v>
      </c>
      <c r="D187" s="1">
        <v>6</v>
      </c>
      <c r="E187" s="1">
        <v>33.5</v>
      </c>
      <c r="F187" s="1">
        <v>201</v>
      </c>
      <c r="G187" s="1" t="s">
        <v>26</v>
      </c>
      <c r="H187" s="1" t="s">
        <v>29</v>
      </c>
      <c r="I187" s="1" t="b">
        <v>1</v>
      </c>
    </row>
    <row r="188" spans="1:9" x14ac:dyDescent="0.25">
      <c r="A188" s="1" t="s">
        <v>219</v>
      </c>
      <c r="B188" s="2">
        <v>46092</v>
      </c>
      <c r="C188" s="1" t="s">
        <v>64</v>
      </c>
      <c r="D188" s="1">
        <v>5</v>
      </c>
      <c r="E188" s="1">
        <v>50.2</v>
      </c>
      <c r="F188" s="1">
        <v>251</v>
      </c>
      <c r="G188" s="1" t="s">
        <v>26</v>
      </c>
      <c r="H188" s="1" t="s">
        <v>40</v>
      </c>
      <c r="I188" s="1" t="b">
        <v>1</v>
      </c>
    </row>
    <row r="189" spans="1:9" x14ac:dyDescent="0.25">
      <c r="A189" s="1" t="s">
        <v>220</v>
      </c>
      <c r="B189" s="2">
        <v>46101</v>
      </c>
      <c r="C189" s="1" t="s">
        <v>13</v>
      </c>
      <c r="D189" s="1">
        <v>6</v>
      </c>
      <c r="E189" s="1">
        <v>58.2</v>
      </c>
      <c r="F189" s="1">
        <v>349.2</v>
      </c>
      <c r="G189" s="1" t="s">
        <v>20</v>
      </c>
      <c r="H189" s="1" t="s">
        <v>17</v>
      </c>
      <c r="I189" s="1" t="b">
        <v>1</v>
      </c>
    </row>
    <row r="190" spans="1:9" x14ac:dyDescent="0.25">
      <c r="A190" s="1" t="s">
        <v>221</v>
      </c>
      <c r="B190" s="2">
        <v>46121</v>
      </c>
      <c r="C190" s="1" t="s">
        <v>13</v>
      </c>
      <c r="D190" s="1">
        <v>8</v>
      </c>
      <c r="E190" s="1">
        <v>94.53</v>
      </c>
      <c r="F190" s="1">
        <v>756.24</v>
      </c>
      <c r="G190" s="1" t="s">
        <v>20</v>
      </c>
      <c r="H190" s="1" t="s">
        <v>36</v>
      </c>
      <c r="I190" s="1" t="b">
        <v>1</v>
      </c>
    </row>
    <row r="191" spans="1:9" x14ac:dyDescent="0.25">
      <c r="A191" s="1" t="s">
        <v>222</v>
      </c>
      <c r="B191" s="2">
        <v>46130</v>
      </c>
      <c r="C191" s="1" t="s">
        <v>31</v>
      </c>
      <c r="D191" s="1">
        <v>1</v>
      </c>
      <c r="E191" s="1">
        <v>95.14</v>
      </c>
      <c r="F191" s="1">
        <v>95.14</v>
      </c>
      <c r="G191" s="1" t="s">
        <v>26</v>
      </c>
      <c r="H191" s="1" t="s">
        <v>17</v>
      </c>
      <c r="I191" s="1" t="b">
        <v>1</v>
      </c>
    </row>
    <row r="192" spans="1:9" x14ac:dyDescent="0.25">
      <c r="A192" s="1" t="s">
        <v>223</v>
      </c>
      <c r="B192" s="2">
        <v>46156</v>
      </c>
      <c r="C192" s="1" t="s">
        <v>39</v>
      </c>
      <c r="D192" s="1">
        <v>4</v>
      </c>
      <c r="E192" s="1">
        <v>166.53</v>
      </c>
      <c r="F192" s="1">
        <v>666.12</v>
      </c>
      <c r="G192" s="1" t="s">
        <v>26</v>
      </c>
      <c r="H192" s="1" t="s">
        <v>36</v>
      </c>
      <c r="I192" s="1" t="b">
        <v>1</v>
      </c>
    </row>
    <row r="193" spans="1:9" x14ac:dyDescent="0.25">
      <c r="A193" s="1" t="s">
        <v>224</v>
      </c>
      <c r="B193" s="2">
        <v>46116</v>
      </c>
      <c r="C193" s="1" t="s">
        <v>19</v>
      </c>
      <c r="D193" s="1">
        <v>7</v>
      </c>
      <c r="E193" s="1">
        <v>80.180000000000007</v>
      </c>
      <c r="F193" s="1">
        <v>561.26</v>
      </c>
      <c r="G193" s="1" t="s">
        <v>14</v>
      </c>
      <c r="H193" s="1" t="s">
        <v>21</v>
      </c>
      <c r="I193" s="1" t="b">
        <v>1</v>
      </c>
    </row>
    <row r="194" spans="1:9" x14ac:dyDescent="0.25">
      <c r="A194" s="1" t="s">
        <v>225</v>
      </c>
      <c r="B194" s="2">
        <v>46084</v>
      </c>
      <c r="C194" s="1" t="s">
        <v>25</v>
      </c>
      <c r="D194" s="1">
        <v>4</v>
      </c>
      <c r="E194" s="1">
        <v>225.85</v>
      </c>
      <c r="F194" s="1">
        <v>903.4</v>
      </c>
      <c r="G194" s="1" t="s">
        <v>26</v>
      </c>
      <c r="H194" s="1" t="s">
        <v>17</v>
      </c>
      <c r="I194" s="1" t="b">
        <v>1</v>
      </c>
    </row>
    <row r="195" spans="1:9" x14ac:dyDescent="0.25">
      <c r="A195" s="1" t="s">
        <v>226</v>
      </c>
      <c r="B195" s="2">
        <v>46112</v>
      </c>
      <c r="C195" s="1" t="s">
        <v>28</v>
      </c>
      <c r="D195" s="1">
        <v>4</v>
      </c>
      <c r="E195" s="1">
        <v>213.73</v>
      </c>
      <c r="F195" s="1">
        <v>854.92</v>
      </c>
      <c r="G195" s="1" t="s">
        <v>26</v>
      </c>
      <c r="H195" s="1" t="s">
        <v>21</v>
      </c>
      <c r="I195" s="1" t="b">
        <v>1</v>
      </c>
    </row>
    <row r="196" spans="1:9" x14ac:dyDescent="0.25">
      <c r="A196" s="1" t="s">
        <v>227</v>
      </c>
      <c r="B196" s="2">
        <v>46024</v>
      </c>
      <c r="C196" s="1" t="s">
        <v>19</v>
      </c>
      <c r="D196" s="1">
        <v>6</v>
      </c>
      <c r="E196" s="1">
        <v>235.01</v>
      </c>
      <c r="F196" s="1">
        <v>1410.06</v>
      </c>
      <c r="G196" s="1" t="s">
        <v>10</v>
      </c>
      <c r="H196" s="1" t="s">
        <v>11</v>
      </c>
      <c r="I196" s="1" t="b">
        <v>1</v>
      </c>
    </row>
    <row r="197" spans="1:9" x14ac:dyDescent="0.25">
      <c r="A197" s="1" t="s">
        <v>228</v>
      </c>
      <c r="B197" s="2">
        <v>46048</v>
      </c>
      <c r="C197" s="1" t="s">
        <v>39</v>
      </c>
      <c r="D197" s="1">
        <v>4</v>
      </c>
      <c r="E197" s="1">
        <v>177.54</v>
      </c>
      <c r="F197" s="1">
        <v>710.16</v>
      </c>
      <c r="G197" s="1" t="s">
        <v>23</v>
      </c>
      <c r="H197" s="1" t="s">
        <v>36</v>
      </c>
      <c r="I197" s="1" t="b">
        <v>1</v>
      </c>
    </row>
    <row r="198" spans="1:9" x14ac:dyDescent="0.25">
      <c r="A198" s="1" t="s">
        <v>229</v>
      </c>
      <c r="B198" s="2">
        <v>46024</v>
      </c>
      <c r="C198" s="1" t="s">
        <v>28</v>
      </c>
      <c r="D198" s="1">
        <v>6</v>
      </c>
      <c r="E198" s="1">
        <v>210.8</v>
      </c>
      <c r="F198" s="1">
        <v>1264.8</v>
      </c>
      <c r="G198" s="1" t="s">
        <v>20</v>
      </c>
      <c r="H198" s="1" t="s">
        <v>21</v>
      </c>
      <c r="I198" s="1" t="b">
        <v>1</v>
      </c>
    </row>
    <row r="199" spans="1:9" x14ac:dyDescent="0.25">
      <c r="A199" s="1" t="s">
        <v>230</v>
      </c>
      <c r="B199" s="2">
        <v>46099</v>
      </c>
      <c r="C199" s="1" t="s">
        <v>13</v>
      </c>
      <c r="D199" s="1">
        <v>1</v>
      </c>
      <c r="E199" s="1">
        <v>10.1</v>
      </c>
      <c r="F199" s="1">
        <v>10.1</v>
      </c>
      <c r="G199" s="1" t="s">
        <v>14</v>
      </c>
      <c r="H199" s="1" t="s">
        <v>36</v>
      </c>
      <c r="I199" s="1" t="b">
        <v>1</v>
      </c>
    </row>
    <row r="200" spans="1:9" x14ac:dyDescent="0.25">
      <c r="A200" s="1" t="s">
        <v>231</v>
      </c>
      <c r="B200" s="2">
        <v>46038</v>
      </c>
      <c r="C200" s="1" t="s">
        <v>39</v>
      </c>
      <c r="D200" s="1">
        <v>8</v>
      </c>
      <c r="E200" s="1">
        <v>192.08</v>
      </c>
      <c r="F200" s="1">
        <v>1536.64</v>
      </c>
      <c r="G200" s="1" t="s">
        <v>10</v>
      </c>
      <c r="H200" s="1" t="s">
        <v>29</v>
      </c>
      <c r="I200" s="1" t="b">
        <v>1</v>
      </c>
    </row>
    <row r="201" spans="1:9" x14ac:dyDescent="0.25">
      <c r="A201" s="1" t="s">
        <v>232</v>
      </c>
      <c r="B201" s="2">
        <v>46026</v>
      </c>
      <c r="C201" s="1" t="s">
        <v>28</v>
      </c>
      <c r="D201" s="1">
        <v>6</v>
      </c>
      <c r="E201" s="1">
        <v>134.68</v>
      </c>
      <c r="F201" s="1">
        <v>808.08</v>
      </c>
      <c r="G201" s="1" t="s">
        <v>10</v>
      </c>
      <c r="H201" s="1" t="s">
        <v>36</v>
      </c>
      <c r="I201" s="1" t="b">
        <v>1</v>
      </c>
    </row>
    <row r="202" spans="1:9" x14ac:dyDescent="0.25">
      <c r="A202" s="1" t="s">
        <v>233</v>
      </c>
      <c r="B202" s="2">
        <v>46084</v>
      </c>
      <c r="C202" s="1" t="s">
        <v>44</v>
      </c>
      <c r="D202" s="1">
        <v>4</v>
      </c>
      <c r="E202" s="1">
        <v>24.02</v>
      </c>
      <c r="F202" s="1">
        <v>96.08</v>
      </c>
      <c r="G202" s="1" t="s">
        <v>23</v>
      </c>
      <c r="H202" s="1" t="s">
        <v>40</v>
      </c>
      <c r="I202" s="1" t="b">
        <v>1</v>
      </c>
    </row>
    <row r="203" spans="1:9" x14ac:dyDescent="0.25">
      <c r="A203" s="1" t="s">
        <v>234</v>
      </c>
      <c r="B203" s="2">
        <v>46178</v>
      </c>
      <c r="C203" s="1" t="s">
        <v>33</v>
      </c>
      <c r="D203" s="1">
        <v>7</v>
      </c>
      <c r="E203" s="1">
        <v>90.5</v>
      </c>
      <c r="F203" s="1">
        <v>633.5</v>
      </c>
      <c r="G203" s="1" t="s">
        <v>20</v>
      </c>
      <c r="H203" s="1" t="s">
        <v>17</v>
      </c>
      <c r="I203" s="1" t="b">
        <v>1</v>
      </c>
    </row>
    <row r="204" spans="1:9" x14ac:dyDescent="0.25">
      <c r="A204" s="1" t="s">
        <v>235</v>
      </c>
      <c r="B204" s="2">
        <v>46171</v>
      </c>
      <c r="C204" s="1" t="s">
        <v>31</v>
      </c>
      <c r="D204" s="1">
        <v>4</v>
      </c>
      <c r="E204" s="1">
        <v>189.38</v>
      </c>
      <c r="F204" s="1">
        <v>757.52</v>
      </c>
      <c r="G204" s="1" t="s">
        <v>26</v>
      </c>
      <c r="H204" s="1" t="s">
        <v>29</v>
      </c>
      <c r="I204" s="1" t="b">
        <v>1</v>
      </c>
    </row>
    <row r="205" spans="1:9" x14ac:dyDescent="0.25">
      <c r="A205" s="1" t="s">
        <v>236</v>
      </c>
      <c r="B205" s="2">
        <v>46038</v>
      </c>
      <c r="C205" s="1" t="s">
        <v>13</v>
      </c>
      <c r="D205" s="1">
        <v>6</v>
      </c>
      <c r="E205" s="1">
        <v>102.39</v>
      </c>
      <c r="F205" s="1">
        <v>614.34</v>
      </c>
      <c r="G205" s="1" t="s">
        <v>23</v>
      </c>
      <c r="H205" s="1" t="s">
        <v>36</v>
      </c>
      <c r="I205" s="1" t="b">
        <v>1</v>
      </c>
    </row>
    <row r="206" spans="1:9" x14ac:dyDescent="0.25">
      <c r="A206" s="1" t="s">
        <v>237</v>
      </c>
      <c r="B206" s="2">
        <v>46139</v>
      </c>
      <c r="C206" s="1" t="s">
        <v>31</v>
      </c>
      <c r="D206" s="1">
        <v>4</v>
      </c>
      <c r="E206" s="1">
        <v>221.55</v>
      </c>
      <c r="F206" s="1">
        <v>886.2</v>
      </c>
      <c r="G206" s="1" t="s">
        <v>14</v>
      </c>
      <c r="H206" s="1" t="s">
        <v>40</v>
      </c>
      <c r="I206" s="1" t="b">
        <v>1</v>
      </c>
    </row>
    <row r="207" spans="1:9" x14ac:dyDescent="0.25">
      <c r="A207" s="1" t="s">
        <v>238</v>
      </c>
      <c r="B207" s="2">
        <v>46050</v>
      </c>
      <c r="C207" s="1" t="s">
        <v>13</v>
      </c>
      <c r="D207" s="1">
        <v>7</v>
      </c>
      <c r="E207" s="1">
        <v>229.99</v>
      </c>
      <c r="F207" s="1">
        <v>1609.93</v>
      </c>
      <c r="G207" s="1" t="s">
        <v>14</v>
      </c>
      <c r="H207" s="1" t="s">
        <v>29</v>
      </c>
      <c r="I207" s="1" t="b">
        <v>1</v>
      </c>
    </row>
    <row r="208" spans="1:9" x14ac:dyDescent="0.25">
      <c r="A208" s="1" t="s">
        <v>239</v>
      </c>
      <c r="B208" s="2">
        <v>46142</v>
      </c>
      <c r="C208" s="1" t="s">
        <v>44</v>
      </c>
      <c r="D208" s="1">
        <v>3</v>
      </c>
      <c r="E208" s="1">
        <v>107.72</v>
      </c>
      <c r="F208" s="1">
        <v>323.16000000000003</v>
      </c>
      <c r="G208" s="1" t="s">
        <v>10</v>
      </c>
      <c r="H208" s="1" t="s">
        <v>36</v>
      </c>
      <c r="I208" s="1" t="b">
        <v>1</v>
      </c>
    </row>
    <row r="209" spans="1:9" x14ac:dyDescent="0.25">
      <c r="A209" s="1" t="s">
        <v>240</v>
      </c>
      <c r="B209" s="2">
        <v>46051</v>
      </c>
      <c r="C209" s="1" t="s">
        <v>64</v>
      </c>
      <c r="D209" s="1">
        <v>3</v>
      </c>
      <c r="E209" s="1">
        <v>25.74</v>
      </c>
      <c r="F209" s="1">
        <v>77.22</v>
      </c>
      <c r="G209" s="1" t="s">
        <v>20</v>
      </c>
      <c r="H209" s="1" t="s">
        <v>11</v>
      </c>
      <c r="I209" s="1" t="b">
        <v>1</v>
      </c>
    </row>
    <row r="210" spans="1:9" x14ac:dyDescent="0.25">
      <c r="A210" s="1" t="s">
        <v>241</v>
      </c>
      <c r="B210" s="2">
        <v>46120</v>
      </c>
      <c r="C210" s="1" t="s">
        <v>35</v>
      </c>
      <c r="D210" s="1">
        <v>3</v>
      </c>
      <c r="E210" s="1">
        <v>165.15</v>
      </c>
      <c r="F210" s="1">
        <v>495.45</v>
      </c>
      <c r="G210" s="1" t="s">
        <v>20</v>
      </c>
      <c r="H210" s="1" t="s">
        <v>11</v>
      </c>
      <c r="I210" s="1" t="b">
        <v>1</v>
      </c>
    </row>
    <row r="211" spans="1:9" x14ac:dyDescent="0.25">
      <c r="A211" s="1" t="s">
        <v>242</v>
      </c>
      <c r="B211" s="2">
        <v>46053</v>
      </c>
      <c r="C211" s="1" t="s">
        <v>16</v>
      </c>
      <c r="D211" s="1">
        <v>4</v>
      </c>
      <c r="E211" s="1">
        <v>192.3</v>
      </c>
      <c r="F211" s="1">
        <v>769.2</v>
      </c>
      <c r="G211" s="1" t="s">
        <v>20</v>
      </c>
      <c r="H211" s="1" t="s">
        <v>36</v>
      </c>
      <c r="I211" s="1" t="b">
        <v>1</v>
      </c>
    </row>
    <row r="212" spans="1:9" x14ac:dyDescent="0.25">
      <c r="A212" s="1" t="s">
        <v>243</v>
      </c>
      <c r="B212" s="2">
        <v>46156</v>
      </c>
      <c r="C212" s="1" t="s">
        <v>25</v>
      </c>
      <c r="D212" s="1">
        <v>8</v>
      </c>
      <c r="E212" s="1">
        <v>222.49</v>
      </c>
      <c r="F212" s="1">
        <v>1779.92</v>
      </c>
      <c r="G212" s="1" t="s">
        <v>23</v>
      </c>
      <c r="H212" s="1" t="s">
        <v>40</v>
      </c>
      <c r="I212" s="1" t="b">
        <v>1</v>
      </c>
    </row>
    <row r="213" spans="1:9" x14ac:dyDescent="0.25">
      <c r="A213" s="1" t="s">
        <v>244</v>
      </c>
      <c r="B213" s="2">
        <v>46193</v>
      </c>
      <c r="C213" s="1" t="s">
        <v>16</v>
      </c>
      <c r="D213" s="1">
        <v>4</v>
      </c>
      <c r="E213" s="1">
        <v>176.62</v>
      </c>
      <c r="F213" s="1">
        <v>706.48</v>
      </c>
      <c r="G213" s="1" t="s">
        <v>14</v>
      </c>
      <c r="H213" s="1" t="s">
        <v>17</v>
      </c>
      <c r="I213" s="1" t="b">
        <v>1</v>
      </c>
    </row>
    <row r="214" spans="1:9" x14ac:dyDescent="0.25">
      <c r="A214" s="1" t="s">
        <v>245</v>
      </c>
      <c r="B214" s="2">
        <v>46104</v>
      </c>
      <c r="C214" s="1" t="s">
        <v>64</v>
      </c>
      <c r="D214" s="1">
        <v>4</v>
      </c>
      <c r="E214" s="1">
        <v>19.88</v>
      </c>
      <c r="F214" s="1">
        <v>79.52</v>
      </c>
      <c r="G214" s="1" t="s">
        <v>20</v>
      </c>
      <c r="H214" s="1" t="s">
        <v>11</v>
      </c>
      <c r="I214" s="1" t="b">
        <v>1</v>
      </c>
    </row>
    <row r="215" spans="1:9" x14ac:dyDescent="0.25">
      <c r="A215" s="1" t="s">
        <v>246</v>
      </c>
      <c r="B215" s="2">
        <v>46032</v>
      </c>
      <c r="C215" s="1" t="s">
        <v>39</v>
      </c>
      <c r="D215" s="1">
        <v>6</v>
      </c>
      <c r="E215" s="1">
        <v>80.459999999999994</v>
      </c>
      <c r="F215" s="1">
        <v>482.76</v>
      </c>
      <c r="G215" s="1" t="s">
        <v>20</v>
      </c>
      <c r="H215" s="1" t="s">
        <v>21</v>
      </c>
      <c r="I215" s="1" t="b">
        <v>1</v>
      </c>
    </row>
    <row r="216" spans="1:9" x14ac:dyDescent="0.25">
      <c r="A216" s="1" t="s">
        <v>247</v>
      </c>
      <c r="B216" s="2">
        <v>46122</v>
      </c>
      <c r="C216" s="1" t="s">
        <v>19</v>
      </c>
      <c r="D216" s="1">
        <v>8</v>
      </c>
      <c r="E216" s="1">
        <v>59.83</v>
      </c>
      <c r="F216" s="1">
        <v>478.64</v>
      </c>
      <c r="G216" s="1" t="s">
        <v>10</v>
      </c>
      <c r="H216" s="1" t="s">
        <v>29</v>
      </c>
      <c r="I216" s="1" t="b">
        <v>1</v>
      </c>
    </row>
    <row r="217" spans="1:9" x14ac:dyDescent="0.25">
      <c r="A217" s="1" t="s">
        <v>248</v>
      </c>
      <c r="B217" s="2">
        <v>46141</v>
      </c>
      <c r="C217" s="1" t="s">
        <v>33</v>
      </c>
      <c r="D217" s="1">
        <v>6</v>
      </c>
      <c r="E217" s="1">
        <v>247.09</v>
      </c>
      <c r="F217" s="1">
        <v>1482.54</v>
      </c>
      <c r="G217" s="1" t="s">
        <v>23</v>
      </c>
      <c r="H217" s="1" t="s">
        <v>29</v>
      </c>
      <c r="I217" s="1" t="b">
        <v>1</v>
      </c>
    </row>
    <row r="218" spans="1:9" x14ac:dyDescent="0.25">
      <c r="A218" s="1" t="s">
        <v>249</v>
      </c>
      <c r="B218" s="2">
        <v>46055</v>
      </c>
      <c r="C218" s="1" t="s">
        <v>33</v>
      </c>
      <c r="D218" s="1">
        <v>8</v>
      </c>
      <c r="E218" s="1">
        <v>75.78</v>
      </c>
      <c r="F218" s="1">
        <v>606.24</v>
      </c>
      <c r="G218" s="1" t="s">
        <v>10</v>
      </c>
      <c r="H218" s="1" t="s">
        <v>29</v>
      </c>
      <c r="I218" s="1" t="b">
        <v>1</v>
      </c>
    </row>
    <row r="219" spans="1:9" x14ac:dyDescent="0.25">
      <c r="A219" s="1" t="s">
        <v>250</v>
      </c>
      <c r="B219" s="2">
        <v>46125</v>
      </c>
      <c r="C219" s="1" t="s">
        <v>13</v>
      </c>
      <c r="D219" s="1">
        <v>8</v>
      </c>
      <c r="E219" s="1">
        <v>84.2</v>
      </c>
      <c r="F219" s="1">
        <v>673.6</v>
      </c>
      <c r="G219" s="1" t="s">
        <v>14</v>
      </c>
      <c r="H219" s="1" t="s">
        <v>40</v>
      </c>
      <c r="I219" s="1" t="b">
        <v>1</v>
      </c>
    </row>
    <row r="220" spans="1:9" x14ac:dyDescent="0.25">
      <c r="A220" s="1" t="s">
        <v>251</v>
      </c>
      <c r="B220" s="2">
        <v>46194</v>
      </c>
      <c r="C220" s="1" t="s">
        <v>31</v>
      </c>
      <c r="D220" s="1">
        <v>6</v>
      </c>
      <c r="E220" s="1">
        <v>176.53</v>
      </c>
      <c r="F220" s="1">
        <v>1059.18</v>
      </c>
      <c r="G220" s="1" t="s">
        <v>20</v>
      </c>
      <c r="H220" s="1" t="s">
        <v>17</v>
      </c>
      <c r="I220" s="1" t="b">
        <v>1</v>
      </c>
    </row>
    <row r="221" spans="1:9" x14ac:dyDescent="0.25">
      <c r="A221" s="1" t="s">
        <v>252</v>
      </c>
      <c r="B221" s="2">
        <v>46137</v>
      </c>
      <c r="C221" s="1" t="s">
        <v>28</v>
      </c>
      <c r="D221" s="1">
        <v>1</v>
      </c>
      <c r="E221" s="1">
        <v>41.52</v>
      </c>
      <c r="F221" s="1">
        <v>41.52</v>
      </c>
      <c r="G221" s="1" t="s">
        <v>23</v>
      </c>
      <c r="H221" s="1" t="s">
        <v>17</v>
      </c>
      <c r="I221" s="1" t="b">
        <v>1</v>
      </c>
    </row>
    <row r="222" spans="1:9" x14ac:dyDescent="0.25">
      <c r="A222" s="1" t="s">
        <v>253</v>
      </c>
      <c r="B222" s="2">
        <v>46192</v>
      </c>
      <c r="C222" s="1" t="s">
        <v>9</v>
      </c>
      <c r="D222" s="1">
        <v>8</v>
      </c>
      <c r="E222" s="1">
        <v>170.93</v>
      </c>
      <c r="F222" s="1">
        <v>1367.44</v>
      </c>
      <c r="G222" s="1" t="s">
        <v>14</v>
      </c>
      <c r="H222" s="1" t="s">
        <v>36</v>
      </c>
      <c r="I222" s="1" t="b">
        <v>1</v>
      </c>
    </row>
    <row r="223" spans="1:9" x14ac:dyDescent="0.25">
      <c r="A223" s="1" t="s">
        <v>254</v>
      </c>
      <c r="B223" s="2">
        <v>46046</v>
      </c>
      <c r="C223" s="1" t="s">
        <v>16</v>
      </c>
      <c r="D223" s="1">
        <v>6</v>
      </c>
      <c r="E223" s="1">
        <v>95.04</v>
      </c>
      <c r="F223" s="1">
        <v>570.24</v>
      </c>
      <c r="G223" s="1" t="s">
        <v>26</v>
      </c>
      <c r="H223" s="1" t="s">
        <v>36</v>
      </c>
      <c r="I223" s="1" t="b">
        <v>1</v>
      </c>
    </row>
    <row r="224" spans="1:9" x14ac:dyDescent="0.25">
      <c r="A224" s="1" t="s">
        <v>255</v>
      </c>
      <c r="B224" s="2">
        <v>46197</v>
      </c>
      <c r="C224" s="1" t="s">
        <v>44</v>
      </c>
      <c r="D224" s="1">
        <v>5</v>
      </c>
      <c r="E224" s="1">
        <v>69.34</v>
      </c>
      <c r="F224" s="1">
        <v>346.7</v>
      </c>
      <c r="G224" s="1" t="s">
        <v>23</v>
      </c>
      <c r="H224" s="1" t="s">
        <v>21</v>
      </c>
      <c r="I224" s="1" t="b">
        <v>1</v>
      </c>
    </row>
    <row r="225" spans="1:9" x14ac:dyDescent="0.25">
      <c r="A225" s="1" t="s">
        <v>256</v>
      </c>
      <c r="B225" s="2">
        <v>46141</v>
      </c>
      <c r="C225" s="1" t="s">
        <v>31</v>
      </c>
      <c r="D225" s="1">
        <v>6</v>
      </c>
      <c r="E225" s="1">
        <v>84.34</v>
      </c>
      <c r="F225" s="1">
        <v>506.04</v>
      </c>
      <c r="G225" s="1" t="s">
        <v>10</v>
      </c>
      <c r="H225" s="1" t="s">
        <v>29</v>
      </c>
      <c r="I225" s="1" t="b">
        <v>1</v>
      </c>
    </row>
    <row r="226" spans="1:9" x14ac:dyDescent="0.25">
      <c r="A226" s="1" t="s">
        <v>257</v>
      </c>
      <c r="B226" s="2">
        <v>46083</v>
      </c>
      <c r="C226" s="1" t="s">
        <v>19</v>
      </c>
      <c r="D226" s="1">
        <v>7</v>
      </c>
      <c r="E226" s="1">
        <v>229.31</v>
      </c>
      <c r="F226" s="1">
        <v>1605.17</v>
      </c>
      <c r="G226" s="1" t="s">
        <v>20</v>
      </c>
      <c r="H226" s="1" t="s">
        <v>17</v>
      </c>
      <c r="I226" s="1" t="b">
        <v>1</v>
      </c>
    </row>
    <row r="227" spans="1:9" x14ac:dyDescent="0.25">
      <c r="A227" s="1" t="s">
        <v>258</v>
      </c>
      <c r="B227" s="2">
        <v>46068</v>
      </c>
      <c r="C227" s="1" t="s">
        <v>16</v>
      </c>
      <c r="D227" s="1">
        <v>6</v>
      </c>
      <c r="E227" s="1">
        <v>94.56</v>
      </c>
      <c r="F227" s="1">
        <v>567.36</v>
      </c>
      <c r="G227" s="1" t="s">
        <v>14</v>
      </c>
      <c r="H227" s="1" t="s">
        <v>29</v>
      </c>
      <c r="I227" s="1" t="b">
        <v>1</v>
      </c>
    </row>
    <row r="228" spans="1:9" x14ac:dyDescent="0.25">
      <c r="A228" s="1" t="s">
        <v>259</v>
      </c>
      <c r="B228" s="2">
        <v>46102</v>
      </c>
      <c r="C228" s="1" t="s">
        <v>64</v>
      </c>
      <c r="D228" s="1">
        <v>2</v>
      </c>
      <c r="E228" s="1">
        <v>69.33</v>
      </c>
      <c r="F228" s="1">
        <v>138.66</v>
      </c>
      <c r="G228" s="1" t="s">
        <v>26</v>
      </c>
      <c r="H228" s="1" t="s">
        <v>29</v>
      </c>
      <c r="I228" s="1" t="b">
        <v>1</v>
      </c>
    </row>
    <row r="229" spans="1:9" x14ac:dyDescent="0.25">
      <c r="A229" s="1" t="s">
        <v>260</v>
      </c>
      <c r="B229" s="2">
        <v>46119</v>
      </c>
      <c r="C229" s="1" t="s">
        <v>64</v>
      </c>
      <c r="D229" s="1">
        <v>5</v>
      </c>
      <c r="E229" s="1">
        <v>188.12</v>
      </c>
      <c r="F229" s="1">
        <v>940.6</v>
      </c>
      <c r="G229" s="1" t="s">
        <v>23</v>
      </c>
      <c r="H229" s="1" t="s">
        <v>36</v>
      </c>
      <c r="I229" s="1" t="b">
        <v>1</v>
      </c>
    </row>
    <row r="230" spans="1:9" x14ac:dyDescent="0.25">
      <c r="A230" s="1" t="s">
        <v>261</v>
      </c>
      <c r="B230" s="2">
        <v>46201</v>
      </c>
      <c r="C230" s="1" t="s">
        <v>35</v>
      </c>
      <c r="D230" s="1">
        <v>1</v>
      </c>
      <c r="E230" s="1">
        <v>246.25</v>
      </c>
      <c r="F230" s="1">
        <v>246.25</v>
      </c>
      <c r="G230" s="1" t="s">
        <v>23</v>
      </c>
      <c r="H230" s="1" t="s">
        <v>36</v>
      </c>
      <c r="I230" s="1" t="b">
        <v>1</v>
      </c>
    </row>
    <row r="231" spans="1:9" x14ac:dyDescent="0.25">
      <c r="A231" s="1" t="s">
        <v>262</v>
      </c>
      <c r="B231" s="2">
        <v>46167</v>
      </c>
      <c r="C231" s="1" t="s">
        <v>19</v>
      </c>
      <c r="D231" s="1">
        <v>3</v>
      </c>
      <c r="E231" s="1">
        <v>112.88</v>
      </c>
      <c r="F231" s="1">
        <v>338.64</v>
      </c>
      <c r="G231" s="1" t="s">
        <v>10</v>
      </c>
      <c r="H231" s="1" t="s">
        <v>36</v>
      </c>
      <c r="I231" s="1" t="b">
        <v>1</v>
      </c>
    </row>
    <row r="232" spans="1:9" x14ac:dyDescent="0.25">
      <c r="A232" s="1" t="s">
        <v>263</v>
      </c>
      <c r="B232" s="2">
        <v>46187</v>
      </c>
      <c r="C232" s="1" t="s">
        <v>25</v>
      </c>
      <c r="D232" s="1">
        <v>1</v>
      </c>
      <c r="E232" s="1">
        <v>231.32</v>
      </c>
      <c r="F232" s="1">
        <v>231.32</v>
      </c>
      <c r="G232" s="1" t="s">
        <v>10</v>
      </c>
      <c r="H232" s="1" t="s">
        <v>17</v>
      </c>
      <c r="I232" s="1" t="b">
        <v>1</v>
      </c>
    </row>
    <row r="233" spans="1:9" x14ac:dyDescent="0.25">
      <c r="A233" s="1" t="s">
        <v>264</v>
      </c>
      <c r="B233" s="2">
        <v>46191</v>
      </c>
      <c r="C233" s="1" t="s">
        <v>16</v>
      </c>
      <c r="D233" s="1">
        <v>6</v>
      </c>
      <c r="E233" s="1">
        <v>22.2</v>
      </c>
      <c r="F233" s="1">
        <v>133.19999999999999</v>
      </c>
      <c r="G233" s="1" t="s">
        <v>14</v>
      </c>
      <c r="H233" s="1" t="s">
        <v>29</v>
      </c>
      <c r="I233" s="1" t="b">
        <v>1</v>
      </c>
    </row>
    <row r="234" spans="1:9" x14ac:dyDescent="0.25">
      <c r="A234" s="1" t="s">
        <v>265</v>
      </c>
      <c r="B234" s="2">
        <v>46193</v>
      </c>
      <c r="C234" s="1" t="s">
        <v>44</v>
      </c>
      <c r="D234" s="1">
        <v>1</v>
      </c>
      <c r="E234" s="1">
        <v>183.55</v>
      </c>
      <c r="F234" s="1">
        <v>183.55</v>
      </c>
      <c r="G234" s="1" t="s">
        <v>26</v>
      </c>
      <c r="H234" s="1" t="s">
        <v>21</v>
      </c>
      <c r="I234" s="1" t="b">
        <v>1</v>
      </c>
    </row>
    <row r="235" spans="1:9" x14ac:dyDescent="0.25">
      <c r="A235" s="1" t="s">
        <v>266</v>
      </c>
      <c r="B235" s="2">
        <v>46104</v>
      </c>
      <c r="C235" s="1" t="s">
        <v>35</v>
      </c>
      <c r="D235" s="1">
        <v>3</v>
      </c>
      <c r="E235" s="1">
        <v>108.9</v>
      </c>
      <c r="F235" s="1">
        <v>326.7</v>
      </c>
      <c r="G235" s="1" t="s">
        <v>23</v>
      </c>
      <c r="H235" s="1" t="s">
        <v>11</v>
      </c>
      <c r="I235" s="1" t="b">
        <v>1</v>
      </c>
    </row>
    <row r="236" spans="1:9" x14ac:dyDescent="0.25">
      <c r="A236" s="1" t="s">
        <v>267</v>
      </c>
      <c r="B236" s="2">
        <v>46057</v>
      </c>
      <c r="C236" s="1" t="s">
        <v>44</v>
      </c>
      <c r="D236" s="1">
        <v>3</v>
      </c>
      <c r="E236" s="1">
        <v>51.62</v>
      </c>
      <c r="F236" s="1">
        <v>154.86000000000001</v>
      </c>
      <c r="G236" s="1" t="s">
        <v>10</v>
      </c>
      <c r="H236" s="1" t="s">
        <v>17</v>
      </c>
      <c r="I236" s="1" t="b">
        <v>1</v>
      </c>
    </row>
    <row r="237" spans="1:9" x14ac:dyDescent="0.25">
      <c r="A237" s="1" t="s">
        <v>268</v>
      </c>
      <c r="B237" s="2">
        <v>46029</v>
      </c>
      <c r="C237" s="1" t="s">
        <v>35</v>
      </c>
      <c r="D237" s="1">
        <v>2</v>
      </c>
      <c r="E237" s="1">
        <v>115.03</v>
      </c>
      <c r="F237" s="1">
        <v>230.06</v>
      </c>
      <c r="G237" s="1" t="s">
        <v>26</v>
      </c>
      <c r="H237" s="1" t="s">
        <v>40</v>
      </c>
      <c r="I237" s="1" t="b">
        <v>1</v>
      </c>
    </row>
    <row r="238" spans="1:9" x14ac:dyDescent="0.25">
      <c r="A238" s="1" t="s">
        <v>269</v>
      </c>
      <c r="B238" s="2">
        <v>46191</v>
      </c>
      <c r="C238" s="1" t="s">
        <v>28</v>
      </c>
      <c r="D238" s="1">
        <v>8</v>
      </c>
      <c r="E238" s="1">
        <v>208.4</v>
      </c>
      <c r="F238" s="1">
        <v>1667.2</v>
      </c>
      <c r="G238" s="1" t="s">
        <v>10</v>
      </c>
      <c r="H238" s="1" t="s">
        <v>11</v>
      </c>
      <c r="I238" s="1" t="b">
        <v>1</v>
      </c>
    </row>
    <row r="239" spans="1:9" x14ac:dyDescent="0.25">
      <c r="A239" s="1" t="s">
        <v>270</v>
      </c>
      <c r="B239" s="2">
        <v>46167</v>
      </c>
      <c r="C239" s="1" t="s">
        <v>39</v>
      </c>
      <c r="D239" s="1">
        <v>2</v>
      </c>
      <c r="E239" s="1">
        <v>137.09</v>
      </c>
      <c r="F239" s="1">
        <v>274.18</v>
      </c>
      <c r="G239" s="1" t="s">
        <v>20</v>
      </c>
      <c r="H239" s="1" t="s">
        <v>29</v>
      </c>
      <c r="I239" s="1" t="b">
        <v>1</v>
      </c>
    </row>
    <row r="240" spans="1:9" x14ac:dyDescent="0.25">
      <c r="A240" s="1" t="s">
        <v>271</v>
      </c>
      <c r="B240" s="2">
        <v>46157</v>
      </c>
      <c r="C240" s="1" t="s">
        <v>25</v>
      </c>
      <c r="D240" s="1">
        <v>6</v>
      </c>
      <c r="E240" s="1">
        <v>163.43</v>
      </c>
      <c r="F240" s="1">
        <v>980.58</v>
      </c>
      <c r="G240" s="1" t="s">
        <v>14</v>
      </c>
      <c r="H240" s="1" t="s">
        <v>21</v>
      </c>
      <c r="I240" s="1" t="b">
        <v>1</v>
      </c>
    </row>
    <row r="241" spans="1:9" x14ac:dyDescent="0.25">
      <c r="A241" s="1" t="s">
        <v>272</v>
      </c>
      <c r="B241" s="2">
        <v>46116</v>
      </c>
      <c r="C241" s="1" t="s">
        <v>19</v>
      </c>
      <c r="D241" s="1">
        <v>6</v>
      </c>
      <c r="E241" s="1">
        <v>160.47</v>
      </c>
      <c r="F241" s="1">
        <v>962.82</v>
      </c>
      <c r="G241" s="1" t="s">
        <v>23</v>
      </c>
      <c r="H241" s="1" t="s">
        <v>40</v>
      </c>
      <c r="I241" s="1" t="b">
        <v>1</v>
      </c>
    </row>
  </sheetData>
  <autoFilter ref="A1:H24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4" t="s">
        <v>6</v>
      </c>
      <c r="B1" s="5" t="s">
        <v>118</v>
      </c>
    </row>
    <row r="2" spans="1:2" x14ac:dyDescent="0.25">
      <c r="A2" s="6" t="s">
        <v>23</v>
      </c>
      <c r="B2" s="7">
        <v>30787.940000000013</v>
      </c>
    </row>
    <row r="3" spans="1:2" x14ac:dyDescent="0.25">
      <c r="A3" s="8" t="s">
        <v>14</v>
      </c>
      <c r="B3" s="9">
        <v>30083.510000000002</v>
      </c>
    </row>
    <row r="4" spans="1:2" x14ac:dyDescent="0.25">
      <c r="A4" s="8" t="s">
        <v>10</v>
      </c>
      <c r="B4" s="9">
        <v>28925</v>
      </c>
    </row>
    <row r="5" spans="1:2" x14ac:dyDescent="0.25">
      <c r="A5" s="8" t="s">
        <v>20</v>
      </c>
      <c r="B5" s="9">
        <v>26485.820000000007</v>
      </c>
    </row>
    <row r="6" spans="1:2" x14ac:dyDescent="0.25">
      <c r="A6" s="8" t="s">
        <v>26</v>
      </c>
      <c r="B6" s="9">
        <v>26154.87</v>
      </c>
    </row>
    <row r="7" spans="1:2" x14ac:dyDescent="0.25">
      <c r="A7" s="10" t="s">
        <v>123</v>
      </c>
      <c r="B7" s="11">
        <v>142437.14000000004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3"/>
  <sheetViews>
    <sheetView tabSelected="1" workbookViewId="0">
      <selection activeCell="B13" sqref="B13"/>
    </sheetView>
  </sheetViews>
  <sheetFormatPr defaultColWidth="12.6640625" defaultRowHeight="15.75" customHeight="1" x14ac:dyDescent="0.25"/>
  <sheetData>
    <row r="1" spans="1:2" x14ac:dyDescent="0.25">
      <c r="A1" s="4" t="s">
        <v>291</v>
      </c>
      <c r="B1" s="5" t="s">
        <v>118</v>
      </c>
    </row>
    <row r="2" spans="1:2" x14ac:dyDescent="0.25">
      <c r="A2" s="6" t="s">
        <v>273</v>
      </c>
      <c r="B2" s="7">
        <v>24177.450000000004</v>
      </c>
    </row>
    <row r="3" spans="1:2" x14ac:dyDescent="0.25">
      <c r="A3" s="8" t="s">
        <v>274</v>
      </c>
      <c r="B3" s="9">
        <v>13788.89</v>
      </c>
    </row>
    <row r="4" spans="1:2" x14ac:dyDescent="0.25">
      <c r="A4" s="8" t="s">
        <v>275</v>
      </c>
      <c r="B4" s="9">
        <v>19390.28</v>
      </c>
    </row>
    <row r="5" spans="1:2" x14ac:dyDescent="0.25">
      <c r="A5" s="8" t="s">
        <v>276</v>
      </c>
      <c r="B5" s="9">
        <v>23471.379999999997</v>
      </c>
    </row>
    <row r="6" spans="1:2" x14ac:dyDescent="0.25">
      <c r="A6" s="8" t="s">
        <v>277</v>
      </c>
      <c r="B6" s="9">
        <v>24885.970000000008</v>
      </c>
    </row>
    <row r="7" spans="1:2" x14ac:dyDescent="0.25">
      <c r="A7" s="8" t="s">
        <v>278</v>
      </c>
      <c r="B7" s="9">
        <v>36723.17</v>
      </c>
    </row>
    <row r="8" spans="1:2" x14ac:dyDescent="0.25">
      <c r="A8" s="10" t="s">
        <v>123</v>
      </c>
      <c r="B8" s="11">
        <v>142437.14000000001</v>
      </c>
    </row>
    <row r="10" spans="1:2" x14ac:dyDescent="0.25">
      <c r="A10" s="1" t="s">
        <v>279</v>
      </c>
      <c r="B10" s="1" t="s">
        <v>280</v>
      </c>
    </row>
    <row r="11" spans="1:2" x14ac:dyDescent="0.25">
      <c r="A11" s="1" t="s">
        <v>281</v>
      </c>
      <c r="B11" s="1">
        <f>B8</f>
        <v>142437.14000000001</v>
      </c>
    </row>
    <row r="12" spans="1:2" x14ac:dyDescent="0.25">
      <c r="A12" s="1" t="s">
        <v>282</v>
      </c>
      <c r="B12" s="1">
        <v>240</v>
      </c>
    </row>
    <row r="13" spans="1:2" x14ac:dyDescent="0.25">
      <c r="A13" s="1" t="s">
        <v>283</v>
      </c>
      <c r="B13" s="12">
        <f>B11/B12</f>
        <v>593.48808333333341</v>
      </c>
    </row>
    <row r="15" spans="1:2" x14ac:dyDescent="0.25">
      <c r="A15" s="3" t="s">
        <v>284</v>
      </c>
      <c r="B15" s="3"/>
    </row>
    <row r="16" spans="1:2" x14ac:dyDescent="0.25">
      <c r="A16" s="3" t="s">
        <v>285</v>
      </c>
      <c r="B16" s="3" t="s">
        <v>286</v>
      </c>
    </row>
    <row r="17" spans="1:2" x14ac:dyDescent="0.25">
      <c r="A17" s="3" t="s">
        <v>287</v>
      </c>
      <c r="B17" s="3" t="s">
        <v>288</v>
      </c>
    </row>
    <row r="18" spans="1:2" x14ac:dyDescent="0.25">
      <c r="A18" s="3" t="s">
        <v>289</v>
      </c>
      <c r="B18" s="3" t="s">
        <v>290</v>
      </c>
    </row>
    <row r="20" spans="1:2" x14ac:dyDescent="0.25">
      <c r="A20" s="4" t="s">
        <v>2</v>
      </c>
      <c r="B20" s="5" t="s">
        <v>118</v>
      </c>
    </row>
    <row r="21" spans="1:2" x14ac:dyDescent="0.25">
      <c r="A21" s="6" t="s">
        <v>33</v>
      </c>
      <c r="B21" s="7">
        <v>18713.899999999998</v>
      </c>
    </row>
    <row r="22" spans="1:2" x14ac:dyDescent="0.25">
      <c r="A22" s="8" t="s">
        <v>19</v>
      </c>
      <c r="B22" s="9">
        <v>16809.84</v>
      </c>
    </row>
    <row r="23" spans="1:2" x14ac:dyDescent="0.25">
      <c r="A23" s="8" t="s">
        <v>28</v>
      </c>
      <c r="B23" s="9">
        <v>16142.37</v>
      </c>
    </row>
    <row r="24" spans="1:2" x14ac:dyDescent="0.25">
      <c r="A24" s="8" t="s">
        <v>39</v>
      </c>
      <c r="B24" s="9">
        <v>14290.77</v>
      </c>
    </row>
    <row r="25" spans="1:2" x14ac:dyDescent="0.25">
      <c r="A25" s="8" t="s">
        <v>44</v>
      </c>
      <c r="B25" s="9">
        <v>12103.9</v>
      </c>
    </row>
    <row r="26" spans="1:2" x14ac:dyDescent="0.25">
      <c r="A26" s="8" t="s">
        <v>31</v>
      </c>
      <c r="B26" s="9">
        <v>10674.320000000002</v>
      </c>
    </row>
    <row r="27" spans="1:2" x14ac:dyDescent="0.25">
      <c r="A27" s="8" t="s">
        <v>35</v>
      </c>
      <c r="B27" s="9">
        <v>10624.930000000002</v>
      </c>
    </row>
    <row r="28" spans="1:2" x14ac:dyDescent="0.25">
      <c r="A28" s="8" t="s">
        <v>25</v>
      </c>
      <c r="B28" s="9">
        <v>10445.799999999999</v>
      </c>
    </row>
    <row r="29" spans="1:2" x14ac:dyDescent="0.25">
      <c r="A29" s="8" t="s">
        <v>9</v>
      </c>
      <c r="B29" s="9">
        <v>9513.33</v>
      </c>
    </row>
    <row r="30" spans="1:2" x14ac:dyDescent="0.25">
      <c r="A30" s="8" t="s">
        <v>64</v>
      </c>
      <c r="B30" s="9">
        <v>8509.33</v>
      </c>
    </row>
    <row r="31" spans="1:2" x14ac:dyDescent="0.25">
      <c r="A31" s="8" t="s">
        <v>13</v>
      </c>
      <c r="B31" s="9">
        <v>8082.1000000000013</v>
      </c>
    </row>
    <row r="32" spans="1:2" x14ac:dyDescent="0.25">
      <c r="A32" s="8" t="s">
        <v>16</v>
      </c>
      <c r="B32" s="9">
        <v>6526.5499999999993</v>
      </c>
    </row>
    <row r="33" spans="1:2" x14ac:dyDescent="0.25">
      <c r="A33" s="10" t="s">
        <v>123</v>
      </c>
      <c r="B33" s="11">
        <v>142437.13999999998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ShadowFox Retail Sales Analysis</vt:lpstr>
      <vt:lpstr>Pivot Table 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Venna VenkataHemanthreddy</cp:lastModifiedBy>
  <dcterms:modified xsi:type="dcterms:W3CDTF">2026-10-23T12:13:28Z</dcterms:modified>
</cp:coreProperties>
</file>